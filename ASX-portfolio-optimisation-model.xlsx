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eakin365-my.sharepoint.com/personal/s223739717_deakin_edu_au/Documents/Desktop/"/>
    </mc:Choice>
  </mc:AlternateContent>
  <xr:revisionPtr revIDLastSave="9358" documentId="6_{744896D3-BC29-440A-8565-501B40DE07D4}" xr6:coauthVersionLast="47" xr6:coauthVersionMax="47" xr10:uidLastSave="{52E2253A-2929-4476-8B1E-E44B735678C7}"/>
  <bookViews>
    <workbookView xWindow="-108" yWindow="-108" windowWidth="23256" windowHeight="12456" activeTab="2" xr2:uid="{00000000-000D-0000-FFFF-FFFF00000000}"/>
  </bookViews>
  <sheets>
    <sheet name="1.a Compute rate of return" sheetId="17" r:id="rId1"/>
    <sheet name="1.b Sample  (Return and Risk)" sheetId="1" r:id="rId2"/>
    <sheet name="2.a. LP Modelling " sheetId="11" r:id="rId3"/>
    <sheet name="2.b LP Sensitivity Report 1" sheetId="22" r:id="rId4"/>
    <sheet name="3.a ILP modelling" sheetId="19" r:id="rId5"/>
    <sheet name="Summary Sheet" sheetId="20" r:id="rId6"/>
  </sheets>
  <definedNames>
    <definedName name="_xlnm._FilterDatabase" localSheetId="2" hidden="1">'2.a. LP Modelling '!#REF!</definedName>
    <definedName name="solver_adj" localSheetId="2" hidden="1">'2.a. LP Modelling '!$D$7:$K$7</definedName>
    <definedName name="solver_adj" localSheetId="4" hidden="1">'3.a ILP modelling'!$D$7:$K$7</definedName>
    <definedName name="solver_cvg" localSheetId="2" hidden="1">0.0001</definedName>
    <definedName name="solver_cvg" localSheetId="4" hidden="1">0.0001</definedName>
    <definedName name="solver_drv" localSheetId="2" hidden="1">1</definedName>
    <definedName name="solver_drv" localSheetId="4" hidden="1">2</definedName>
    <definedName name="solver_eng" localSheetId="2" hidden="1">2</definedName>
    <definedName name="solver_eng" localSheetId="4" hidden="1">2</definedName>
    <definedName name="solver_est" localSheetId="2" hidden="1">1</definedName>
    <definedName name="solver_est" localSheetId="4" hidden="1">1</definedName>
    <definedName name="solver_itr" localSheetId="2" hidden="1">2147483647</definedName>
    <definedName name="solver_itr" localSheetId="4" hidden="1">2147483647</definedName>
    <definedName name="solver_lhs0" localSheetId="2" hidden="1">'2.a. LP Modelling '!$L$36</definedName>
    <definedName name="solver_lhs0" localSheetId="4" hidden="1">'3.a ILP modelling'!$L$29</definedName>
    <definedName name="solver_lhs1" localSheetId="2" hidden="1">'2.a. LP Modelling '!$L$22</definedName>
    <definedName name="solver_lhs1" localSheetId="4" hidden="1">'3.a ILP modelling'!$L$21</definedName>
    <definedName name="solver_lhs10" localSheetId="2" hidden="1">'2.a. LP Modelling '!$L$30</definedName>
    <definedName name="solver_lhs10" localSheetId="4" hidden="1">'3.a ILP modelling'!$L$28</definedName>
    <definedName name="solver_lhs11" localSheetId="2" hidden="1">'2.a. LP Modelling '!$L$31</definedName>
    <definedName name="solver_lhs11" localSheetId="4" hidden="1">'3.a ILP modelling'!$L$29</definedName>
    <definedName name="solver_lhs12" localSheetId="2" hidden="1">'2.a. LP Modelling '!$L$32</definedName>
    <definedName name="solver_lhs12" localSheetId="4" hidden="1">'3.a ILP modelling'!$L$29</definedName>
    <definedName name="solver_lhs13" localSheetId="2" hidden="1">'2.a. LP Modelling '!$L$33</definedName>
    <definedName name="solver_lhs14" localSheetId="2" hidden="1">'2.a. LP Modelling '!$L$34</definedName>
    <definedName name="solver_lhs15" localSheetId="2" hidden="1">'2.a. LP Modelling '!$L$35</definedName>
    <definedName name="solver_lhs16" localSheetId="2" hidden="1">'2.a. LP Modelling '!$L$36</definedName>
    <definedName name="solver_lhs17" localSheetId="2" hidden="1">'2.a. LP Modelling '!$L$36</definedName>
    <definedName name="solver_lhs2" localSheetId="2" hidden="1">'2.a. LP Modelling '!$L$21</definedName>
    <definedName name="solver_lhs2" localSheetId="4" hidden="1">'3.a ILP modelling'!$L$23</definedName>
    <definedName name="solver_lhs3" localSheetId="2" hidden="1">'2.a. LP Modelling '!$L$23</definedName>
    <definedName name="solver_lhs3" localSheetId="4" hidden="1">'3.a ILP modelling'!$L$29</definedName>
    <definedName name="solver_lhs4" localSheetId="2" hidden="1">'2.a. LP Modelling '!$L$24</definedName>
    <definedName name="solver_lhs4" localSheetId="4" hidden="1">'3.a ILP modelling'!$L$24</definedName>
    <definedName name="solver_lhs5" localSheetId="2" hidden="1">'2.a. LP Modelling '!$L$25</definedName>
    <definedName name="solver_lhs5" localSheetId="4" hidden="1">'3.a ILP modelling'!$L$22</definedName>
    <definedName name="solver_lhs6" localSheetId="2" hidden="1">'2.a. LP Modelling '!$L$26</definedName>
    <definedName name="solver_lhs6" localSheetId="4" hidden="1">'3.a ILP modelling'!$L$25</definedName>
    <definedName name="solver_lhs7" localSheetId="2" hidden="1">'2.a. LP Modelling '!$L$27</definedName>
    <definedName name="solver_lhs7" localSheetId="4" hidden="1">'3.a ILP modelling'!$L$26</definedName>
    <definedName name="solver_lhs8" localSheetId="2" hidden="1">'2.a. LP Modelling '!$L$28</definedName>
    <definedName name="solver_lhs8" localSheetId="4" hidden="1">'3.a ILP modelling'!$L$27</definedName>
    <definedName name="solver_lhs9" localSheetId="2" hidden="1">'2.a. LP Modelling '!$L$29</definedName>
    <definedName name="solver_lhs9" localSheetId="4" hidden="1">'3.a ILP modelling'!$D$7:$K$7</definedName>
    <definedName name="solver_mip" localSheetId="2" hidden="1">2147483647</definedName>
    <definedName name="solver_mip" localSheetId="4" hidden="1">2147483647</definedName>
    <definedName name="solver_mni" localSheetId="2" hidden="1">30</definedName>
    <definedName name="solver_mni" localSheetId="4" hidden="1">30</definedName>
    <definedName name="solver_mrt" localSheetId="2" hidden="1">0.075</definedName>
    <definedName name="solver_mrt" localSheetId="4" hidden="1">0.075</definedName>
    <definedName name="solver_msl" localSheetId="2" hidden="1">2</definedName>
    <definedName name="solver_msl" localSheetId="4" hidden="1">2</definedName>
    <definedName name="solver_neg" localSheetId="2" hidden="1">1</definedName>
    <definedName name="solver_neg" localSheetId="4" hidden="1">1</definedName>
    <definedName name="solver_nod" localSheetId="2" hidden="1">2147483647</definedName>
    <definedName name="solver_nod" localSheetId="4" hidden="1">2147483647</definedName>
    <definedName name="solver_num" localSheetId="2" hidden="1">16</definedName>
    <definedName name="solver_num" localSheetId="4" hidden="1">10</definedName>
    <definedName name="solver_nwt" localSheetId="2" hidden="1">1</definedName>
    <definedName name="solver_nwt" localSheetId="4" hidden="1">1</definedName>
    <definedName name="solver_opt" localSheetId="2" hidden="1">'2.a. LP Modelling '!$D$15</definedName>
    <definedName name="solver_opt" localSheetId="4" hidden="1">'3.a ILP modelling'!$D$15</definedName>
    <definedName name="solver_pre" localSheetId="2" hidden="1">0.000001</definedName>
    <definedName name="solver_pre" localSheetId="4" hidden="1">0.000001</definedName>
    <definedName name="solver_rbv" localSheetId="2" hidden="1">1</definedName>
    <definedName name="solver_rbv" localSheetId="4" hidden="1">2</definedName>
    <definedName name="solver_rel0" localSheetId="2" hidden="1">2</definedName>
    <definedName name="solver_rel0" localSheetId="4" hidden="1">3</definedName>
    <definedName name="solver_rel1" localSheetId="2" hidden="1">3</definedName>
    <definedName name="solver_rel1" localSheetId="4" hidden="1">2</definedName>
    <definedName name="solver_rel10" localSheetId="2" hidden="1">3</definedName>
    <definedName name="solver_rel10" localSheetId="4" hidden="1">1</definedName>
    <definedName name="solver_rel11" localSheetId="2" hidden="1">3</definedName>
    <definedName name="solver_rel11" localSheetId="4" hidden="1">3</definedName>
    <definedName name="solver_rel12" localSheetId="2" hidden="1">3</definedName>
    <definedName name="solver_rel12" localSheetId="4" hidden="1">3</definedName>
    <definedName name="solver_rel13" localSheetId="2" hidden="1">3</definedName>
    <definedName name="solver_rel14" localSheetId="2" hidden="1">3</definedName>
    <definedName name="solver_rel15" localSheetId="2" hidden="1">3</definedName>
    <definedName name="solver_rel16" localSheetId="2" hidden="1">2</definedName>
    <definedName name="solver_rel17" localSheetId="2" hidden="1">2</definedName>
    <definedName name="solver_rel2" localSheetId="2" hidden="1">1</definedName>
    <definedName name="solver_rel2" localSheetId="4" hidden="1">3</definedName>
    <definedName name="solver_rel3" localSheetId="2" hidden="1">3</definedName>
    <definedName name="solver_rel3" localSheetId="4" hidden="1">3</definedName>
    <definedName name="solver_rel4" localSheetId="2" hidden="1">3</definedName>
    <definedName name="solver_rel4" localSheetId="4" hidden="1">3</definedName>
    <definedName name="solver_rel5" localSheetId="2" hidden="1">3</definedName>
    <definedName name="solver_rel5" localSheetId="4" hidden="1">3</definedName>
    <definedName name="solver_rel6" localSheetId="2" hidden="1">3</definedName>
    <definedName name="solver_rel6" localSheetId="4" hidden="1">3</definedName>
    <definedName name="solver_rel7" localSheetId="2" hidden="1">3</definedName>
    <definedName name="solver_rel7" localSheetId="4" hidden="1">1</definedName>
    <definedName name="solver_rel8" localSheetId="2" hidden="1">3</definedName>
    <definedName name="solver_rel8" localSheetId="4" hidden="1">3</definedName>
    <definedName name="solver_rel9" localSheetId="2" hidden="1">3</definedName>
    <definedName name="solver_rel9" localSheetId="4" hidden="1">5</definedName>
    <definedName name="solver_rhs0" localSheetId="2" hidden="1">'2.a. LP Modelling '!$N$36</definedName>
    <definedName name="solver_rhs0" localSheetId="4" hidden="1">'3.a ILP modelling'!$N$29</definedName>
    <definedName name="solver_rhs1" localSheetId="2" hidden="1">'2.a. LP Modelling '!$N$22</definedName>
    <definedName name="solver_rhs1" localSheetId="4" hidden="1">'3.a ILP modelling'!$N$21</definedName>
    <definedName name="solver_rhs10" localSheetId="2" hidden="1">'2.a. LP Modelling '!$N$30</definedName>
    <definedName name="solver_rhs10" localSheetId="4" hidden="1">'3.a ILP modelling'!$N$28</definedName>
    <definedName name="solver_rhs11" localSheetId="2" hidden="1">'2.a. LP Modelling '!$N$31</definedName>
    <definedName name="solver_rhs11" localSheetId="4" hidden="1">'3.a ILP modelling'!$N$29</definedName>
    <definedName name="solver_rhs12" localSheetId="2" hidden="1">'2.a. LP Modelling '!$N$32</definedName>
    <definedName name="solver_rhs12" localSheetId="4" hidden="1">'3.a ILP modelling'!$N$29</definedName>
    <definedName name="solver_rhs13" localSheetId="2" hidden="1">'2.a. LP Modelling '!$N$33</definedName>
    <definedName name="solver_rhs14" localSheetId="2" hidden="1">'2.a. LP Modelling '!$N$34</definedName>
    <definedName name="solver_rhs15" localSheetId="2" hidden="1">'2.a. LP Modelling '!$N$35</definedName>
    <definedName name="solver_rhs16" localSheetId="2" hidden="1">'2.a. LP Modelling '!$N$36</definedName>
    <definedName name="solver_rhs17" localSheetId="2" hidden="1">'2.a. LP Modelling '!$N$36</definedName>
    <definedName name="solver_rhs2" localSheetId="2" hidden="1">'2.a. LP Modelling '!$N$21</definedName>
    <definedName name="solver_rhs2" localSheetId="4" hidden="1">'3.a ILP modelling'!$N$23</definedName>
    <definedName name="solver_rhs3" localSheetId="2" hidden="1">'2.a. LP Modelling '!$N$23</definedName>
    <definedName name="solver_rhs3" localSheetId="4" hidden="1">'3.a ILP modelling'!$N$29</definedName>
    <definedName name="solver_rhs4" localSheetId="2" hidden="1">'2.a. LP Modelling '!$N$24</definedName>
    <definedName name="solver_rhs4" localSheetId="4" hidden="1">'3.a ILP modelling'!$N$24</definedName>
    <definedName name="solver_rhs5" localSheetId="2" hidden="1">'2.a. LP Modelling '!$N$25</definedName>
    <definedName name="solver_rhs5" localSheetId="4" hidden="1">'3.a ILP modelling'!$N$22</definedName>
    <definedName name="solver_rhs6" localSheetId="2" hidden="1">'2.a. LP Modelling '!$N$26</definedName>
    <definedName name="solver_rhs6" localSheetId="4" hidden="1">'3.a ILP modelling'!$N$25</definedName>
    <definedName name="solver_rhs7" localSheetId="2" hidden="1">'2.a. LP Modelling '!$N$27</definedName>
    <definedName name="solver_rhs7" localSheetId="4" hidden="1">'3.a ILP modelling'!$N$26</definedName>
    <definedName name="solver_rhs8" localSheetId="2" hidden="1">'2.a. LP Modelling '!$N$28</definedName>
    <definedName name="solver_rhs8" localSheetId="4" hidden="1">'3.a ILP modelling'!$N$27</definedName>
    <definedName name="solver_rhs9" localSheetId="2" hidden="1">'2.a. LP Modelling '!$N$29</definedName>
    <definedName name="solver_rhs9" localSheetId="4" hidden="1">"binary"</definedName>
    <definedName name="solver_rlx" localSheetId="2" hidden="1">2</definedName>
    <definedName name="solver_rlx" localSheetId="4" hidden="1">2</definedName>
    <definedName name="solver_rsd" localSheetId="2" hidden="1">0</definedName>
    <definedName name="solver_rsd" localSheetId="4" hidden="1">0</definedName>
    <definedName name="solver_scl" localSheetId="2" hidden="1">1</definedName>
    <definedName name="solver_scl" localSheetId="4" hidden="1">2</definedName>
    <definedName name="solver_sho" localSheetId="2" hidden="1">2</definedName>
    <definedName name="solver_sho" localSheetId="4" hidden="1">2</definedName>
    <definedName name="solver_ssz" localSheetId="2" hidden="1">100</definedName>
    <definedName name="solver_ssz" localSheetId="4" hidden="1">100</definedName>
    <definedName name="solver_tim" localSheetId="2" hidden="1">2147483647</definedName>
    <definedName name="solver_tim" localSheetId="4" hidden="1">2147483647</definedName>
    <definedName name="solver_tol" localSheetId="2" hidden="1">0.01</definedName>
    <definedName name="solver_tol" localSheetId="4" hidden="1">0</definedName>
    <definedName name="solver_typ" localSheetId="2" hidden="1">1</definedName>
    <definedName name="solver_typ" localSheetId="4" hidden="1">1</definedName>
    <definedName name="solver_val" localSheetId="2" hidden="1">0</definedName>
    <definedName name="solver_val" localSheetId="4" hidden="1">0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0" l="1"/>
  <c r="J25" i="20"/>
  <c r="J24" i="20"/>
  <c r="J23" i="20"/>
  <c r="J22" i="20"/>
  <c r="J21" i="20"/>
  <c r="J20" i="20"/>
  <c r="J19" i="20"/>
  <c r="J11" i="20"/>
  <c r="J10" i="20"/>
  <c r="J9" i="20"/>
  <c r="J8" i="20"/>
  <c r="J7" i="20"/>
  <c r="J6" i="20"/>
  <c r="J5" i="20"/>
  <c r="J4" i="20"/>
  <c r="E13" i="20"/>
  <c r="D15" i="19" l="1"/>
  <c r="E28" i="20" s="1"/>
  <c r="L29" i="19" l="1"/>
  <c r="L28" i="19"/>
  <c r="L27" i="19"/>
  <c r="L26" i="19"/>
  <c r="L25" i="19"/>
  <c r="L24" i="19"/>
  <c r="L23" i="19"/>
  <c r="L22" i="19"/>
  <c r="L21" i="19"/>
  <c r="D15" i="11" l="1"/>
  <c r="L21" i="11" l="1"/>
  <c r="L28" i="11"/>
  <c r="L29" i="11"/>
  <c r="L30" i="11"/>
  <c r="L31" i="11"/>
  <c r="L32" i="11"/>
  <c r="L33" i="11"/>
  <c r="L34" i="11"/>
  <c r="L27" i="11"/>
  <c r="L25" i="11" l="1"/>
  <c r="L36" i="11"/>
  <c r="L35" i="11"/>
  <c r="L26" i="11"/>
  <c r="L24" i="11"/>
  <c r="L23" i="11"/>
  <c r="L22" i="11"/>
  <c r="Z5" i="17" a="1"/>
  <c r="R5" i="17" a="1"/>
  <c r="V5" i="17" a="1"/>
  <c r="N5" i="17" a="1"/>
  <c r="F5" i="17" a="1"/>
  <c r="AD5" i="17" a="1"/>
  <c r="J5" i="17" a="1"/>
  <c r="B5" i="17" a="1"/>
  <c r="L33" i="17" l="1"/>
  <c r="E34" i="1" s="1"/>
  <c r="L18" i="17"/>
  <c r="E19" i="1" s="1"/>
  <c r="L38" i="17"/>
  <c r="E39" i="1" s="1"/>
  <c r="L45" i="17"/>
  <c r="E46" i="1" s="1"/>
  <c r="L47" i="17"/>
  <c r="E48" i="1" s="1"/>
  <c r="L14" i="17"/>
  <c r="E15" i="1" s="1"/>
  <c r="L31" i="17"/>
  <c r="E32" i="1" s="1"/>
  <c r="L22" i="17"/>
  <c r="E23" i="1" s="1"/>
  <c r="L9" i="17"/>
  <c r="E10" i="1" s="1"/>
  <c r="L30" i="17"/>
  <c r="E31" i="1" s="1"/>
  <c r="L51" i="17"/>
  <c r="E52" i="1" s="1"/>
  <c r="L37" i="17"/>
  <c r="E38" i="1" s="1"/>
  <c r="L40" i="17"/>
  <c r="E41" i="1" s="1"/>
  <c r="L48" i="17"/>
  <c r="E49" i="1" s="1"/>
  <c r="L19" i="17"/>
  <c r="E20" i="1" s="1"/>
  <c r="L7" i="17"/>
  <c r="L13" i="17"/>
  <c r="E14" i="1" s="1"/>
  <c r="L44" i="17"/>
  <c r="E45" i="1" s="1"/>
  <c r="L28" i="17"/>
  <c r="E29" i="1" s="1"/>
  <c r="L11" i="17"/>
  <c r="E12" i="1" s="1"/>
  <c r="L23" i="17"/>
  <c r="E24" i="1" s="1"/>
  <c r="L54" i="17"/>
  <c r="E55" i="1" s="1"/>
  <c r="L41" i="17"/>
  <c r="E42" i="1" s="1"/>
  <c r="L21" i="17"/>
  <c r="E22" i="1" s="1"/>
  <c r="L36" i="17"/>
  <c r="E37" i="1" s="1"/>
  <c r="L52" i="17"/>
  <c r="E53" i="1" s="1"/>
  <c r="J5" i="17"/>
  <c r="L35" i="17"/>
  <c r="E36" i="1" s="1"/>
  <c r="L17" i="17"/>
  <c r="E18" i="1" s="1"/>
  <c r="L27" i="17"/>
  <c r="E28" i="1" s="1"/>
  <c r="L29" i="17"/>
  <c r="E30" i="1" s="1"/>
  <c r="L15" i="17"/>
  <c r="E16" i="1" s="1"/>
  <c r="L8" i="17"/>
  <c r="E9" i="1" s="1"/>
  <c r="L16" i="17"/>
  <c r="E17" i="1" s="1"/>
  <c r="L10" i="17"/>
  <c r="E11" i="1" s="1"/>
  <c r="L25" i="17"/>
  <c r="E26" i="1" s="1"/>
  <c r="L20" i="17"/>
  <c r="E21" i="1" s="1"/>
  <c r="L49" i="17"/>
  <c r="E50" i="1" s="1"/>
  <c r="L39" i="17"/>
  <c r="E40" i="1" s="1"/>
  <c r="L12" i="17"/>
  <c r="E13" i="1" s="1"/>
  <c r="L32" i="17"/>
  <c r="E33" i="1" s="1"/>
  <c r="L50" i="17"/>
  <c r="E51" i="1" s="1"/>
  <c r="L42" i="17"/>
  <c r="E43" i="1" s="1"/>
  <c r="L43" i="17"/>
  <c r="E44" i="1" s="1"/>
  <c r="L34" i="17"/>
  <c r="E35" i="1" s="1"/>
  <c r="L53" i="17"/>
  <c r="E54" i="1" s="1"/>
  <c r="L24" i="17"/>
  <c r="E25" i="1" s="1"/>
  <c r="L46" i="17"/>
  <c r="E47" i="1" s="1"/>
  <c r="L26" i="17"/>
  <c r="E27" i="1" s="1"/>
  <c r="AB27" i="17"/>
  <c r="I28" i="1" s="1"/>
  <c r="AB25" i="17"/>
  <c r="I26" i="1" s="1"/>
  <c r="AB10" i="17"/>
  <c r="I11" i="1" s="1"/>
  <c r="AB52" i="17"/>
  <c r="I53" i="1" s="1"/>
  <c r="AB47" i="17"/>
  <c r="I48" i="1" s="1"/>
  <c r="AB40" i="17"/>
  <c r="I41" i="1" s="1"/>
  <c r="AB43" i="17"/>
  <c r="I44" i="1" s="1"/>
  <c r="AB48" i="17"/>
  <c r="I49" i="1" s="1"/>
  <c r="AB53" i="17"/>
  <c r="I54" i="1" s="1"/>
  <c r="AB51" i="17"/>
  <c r="I52" i="1" s="1"/>
  <c r="AB41" i="17"/>
  <c r="I42" i="1" s="1"/>
  <c r="AB16" i="17"/>
  <c r="I17" i="1" s="1"/>
  <c r="AB33" i="17"/>
  <c r="I34" i="1" s="1"/>
  <c r="AB26" i="17"/>
  <c r="I27" i="1" s="1"/>
  <c r="AB32" i="17"/>
  <c r="I33" i="1" s="1"/>
  <c r="AB12" i="17"/>
  <c r="I13" i="1" s="1"/>
  <c r="AB54" i="17"/>
  <c r="I55" i="1" s="1"/>
  <c r="AB31" i="17"/>
  <c r="I32" i="1" s="1"/>
  <c r="AB13" i="17"/>
  <c r="I14" i="1" s="1"/>
  <c r="AB23" i="17"/>
  <c r="I24" i="1" s="1"/>
  <c r="AB8" i="17"/>
  <c r="I9" i="1" s="1"/>
  <c r="AB50" i="17"/>
  <c r="I51" i="1" s="1"/>
  <c r="AB21" i="17"/>
  <c r="I22" i="1" s="1"/>
  <c r="AB20" i="17"/>
  <c r="I21" i="1" s="1"/>
  <c r="AB42" i="17"/>
  <c r="I43" i="1" s="1"/>
  <c r="AB22" i="17"/>
  <c r="I23" i="1" s="1"/>
  <c r="AB11" i="17"/>
  <c r="I12" i="1" s="1"/>
  <c r="AB39" i="17"/>
  <c r="I40" i="1" s="1"/>
  <c r="AB9" i="17"/>
  <c r="I10" i="1" s="1"/>
  <c r="AB45" i="17"/>
  <c r="I46" i="1" s="1"/>
  <c r="AB28" i="17"/>
  <c r="I29" i="1" s="1"/>
  <c r="AB19" i="17"/>
  <c r="I20" i="1" s="1"/>
  <c r="AB17" i="17"/>
  <c r="I18" i="1" s="1"/>
  <c r="AB14" i="17"/>
  <c r="I15" i="1" s="1"/>
  <c r="AB44" i="17"/>
  <c r="I45" i="1" s="1"/>
  <c r="AB35" i="17"/>
  <c r="I36" i="1" s="1"/>
  <c r="AB24" i="17"/>
  <c r="I25" i="1" s="1"/>
  <c r="AB15" i="17"/>
  <c r="I16" i="1" s="1"/>
  <c r="AB36" i="17"/>
  <c r="I37" i="1" s="1"/>
  <c r="Z5" i="17"/>
  <c r="AB49" i="17"/>
  <c r="I50" i="1" s="1"/>
  <c r="AB37" i="17"/>
  <c r="I38" i="1" s="1"/>
  <c r="AB29" i="17"/>
  <c r="I30" i="1" s="1"/>
  <c r="AB46" i="17"/>
  <c r="I47" i="1" s="1"/>
  <c r="AB18" i="17"/>
  <c r="I19" i="1" s="1"/>
  <c r="AB38" i="17"/>
  <c r="I39" i="1" s="1"/>
  <c r="AB34" i="17"/>
  <c r="I35" i="1" s="1"/>
  <c r="AB7" i="17"/>
  <c r="AB30" i="17"/>
  <c r="I31" i="1" s="1"/>
  <c r="X41" i="17"/>
  <c r="H42" i="1" s="1"/>
  <c r="X52" i="17"/>
  <c r="H53" i="1" s="1"/>
  <c r="X30" i="17"/>
  <c r="H31" i="1" s="1"/>
  <c r="X15" i="17"/>
  <c r="H16" i="1" s="1"/>
  <c r="X20" i="17"/>
  <c r="H21" i="1" s="1"/>
  <c r="X53" i="17"/>
  <c r="H54" i="1" s="1"/>
  <c r="X35" i="17"/>
  <c r="H36" i="1" s="1"/>
  <c r="X14" i="17"/>
  <c r="H15" i="1" s="1"/>
  <c r="X38" i="17"/>
  <c r="H39" i="1" s="1"/>
  <c r="X26" i="17"/>
  <c r="H27" i="1" s="1"/>
  <c r="X27" i="17"/>
  <c r="H28" i="1" s="1"/>
  <c r="X33" i="17"/>
  <c r="H34" i="1" s="1"/>
  <c r="X34" i="17"/>
  <c r="H35" i="1" s="1"/>
  <c r="X25" i="17"/>
  <c r="H26" i="1" s="1"/>
  <c r="X16" i="17"/>
  <c r="H17" i="1" s="1"/>
  <c r="X19" i="17"/>
  <c r="H20" i="1" s="1"/>
  <c r="X40" i="17"/>
  <c r="H41" i="1" s="1"/>
  <c r="X8" i="17"/>
  <c r="H9" i="1" s="1"/>
  <c r="X44" i="17"/>
  <c r="H45" i="1" s="1"/>
  <c r="X49" i="17"/>
  <c r="H50" i="1" s="1"/>
  <c r="X48" i="17"/>
  <c r="H49" i="1" s="1"/>
  <c r="X46" i="17"/>
  <c r="H47" i="1" s="1"/>
  <c r="X24" i="17"/>
  <c r="H25" i="1" s="1"/>
  <c r="X21" i="17"/>
  <c r="H22" i="1" s="1"/>
  <c r="X29" i="17"/>
  <c r="H30" i="1" s="1"/>
  <c r="X47" i="17"/>
  <c r="H48" i="1" s="1"/>
  <c r="X43" i="17"/>
  <c r="H44" i="1" s="1"/>
  <c r="X10" i="17"/>
  <c r="H11" i="1" s="1"/>
  <c r="X9" i="17"/>
  <c r="H10" i="1" s="1"/>
  <c r="X45" i="17"/>
  <c r="H46" i="1" s="1"/>
  <c r="X50" i="17"/>
  <c r="H51" i="1" s="1"/>
  <c r="V5" i="17"/>
  <c r="X36" i="17"/>
  <c r="H37" i="1" s="1"/>
  <c r="X23" i="17"/>
  <c r="H24" i="1" s="1"/>
  <c r="X7" i="17"/>
  <c r="X51" i="17"/>
  <c r="H52" i="1" s="1"/>
  <c r="X17" i="17"/>
  <c r="H18" i="1" s="1"/>
  <c r="X42" i="17"/>
  <c r="H43" i="1" s="1"/>
  <c r="X13" i="17"/>
  <c r="H14" i="1" s="1"/>
  <c r="X11" i="17"/>
  <c r="H12" i="1" s="1"/>
  <c r="X39" i="17"/>
  <c r="H40" i="1" s="1"/>
  <c r="X31" i="17"/>
  <c r="H32" i="1" s="1"/>
  <c r="X32" i="17"/>
  <c r="H33" i="1" s="1"/>
  <c r="X28" i="17"/>
  <c r="H29" i="1" s="1"/>
  <c r="X12" i="17"/>
  <c r="H13" i="1" s="1"/>
  <c r="X37" i="17"/>
  <c r="H38" i="1" s="1"/>
  <c r="X54" i="17"/>
  <c r="H55" i="1" s="1"/>
  <c r="X22" i="17"/>
  <c r="H23" i="1" s="1"/>
  <c r="X18" i="17"/>
  <c r="H19" i="1" s="1"/>
  <c r="B5" i="17"/>
  <c r="D8" i="17"/>
  <c r="C9" i="1" s="1"/>
  <c r="D21" i="17"/>
  <c r="C22" i="1" s="1"/>
  <c r="D48" i="17"/>
  <c r="C49" i="1" s="1"/>
  <c r="D13" i="17"/>
  <c r="C14" i="1" s="1"/>
  <c r="D37" i="17"/>
  <c r="C38" i="1" s="1"/>
  <c r="D10" i="17"/>
  <c r="C11" i="1" s="1"/>
  <c r="D16" i="17"/>
  <c r="C17" i="1" s="1"/>
  <c r="D47" i="17"/>
  <c r="C48" i="1" s="1"/>
  <c r="D39" i="17"/>
  <c r="C40" i="1" s="1"/>
  <c r="D28" i="17"/>
  <c r="C29" i="1" s="1"/>
  <c r="D25" i="17"/>
  <c r="C26" i="1" s="1"/>
  <c r="D50" i="17"/>
  <c r="C51" i="1" s="1"/>
  <c r="D49" i="17"/>
  <c r="C50" i="1" s="1"/>
  <c r="D20" i="17"/>
  <c r="C21" i="1" s="1"/>
  <c r="D38" i="17"/>
  <c r="C39" i="1" s="1"/>
  <c r="D36" i="17"/>
  <c r="C37" i="1" s="1"/>
  <c r="D32" i="17"/>
  <c r="C33" i="1" s="1"/>
  <c r="D26" i="17"/>
  <c r="C27" i="1" s="1"/>
  <c r="D53" i="17"/>
  <c r="C54" i="1" s="1"/>
  <c r="D19" i="17"/>
  <c r="C20" i="1" s="1"/>
  <c r="D12" i="17"/>
  <c r="C13" i="1" s="1"/>
  <c r="D35" i="17"/>
  <c r="C36" i="1" s="1"/>
  <c r="D40" i="17"/>
  <c r="C41" i="1" s="1"/>
  <c r="D27" i="17"/>
  <c r="C28" i="1" s="1"/>
  <c r="D31" i="17"/>
  <c r="C32" i="1" s="1"/>
  <c r="D43" i="17"/>
  <c r="C44" i="1" s="1"/>
  <c r="D11" i="17"/>
  <c r="C12" i="1" s="1"/>
  <c r="D29" i="17"/>
  <c r="C30" i="1" s="1"/>
  <c r="D45" i="17"/>
  <c r="C46" i="1" s="1"/>
  <c r="D41" i="17"/>
  <c r="C42" i="1" s="1"/>
  <c r="D23" i="17"/>
  <c r="C24" i="1" s="1"/>
  <c r="D52" i="17"/>
  <c r="C53" i="1" s="1"/>
  <c r="D42" i="17"/>
  <c r="C43" i="1" s="1"/>
  <c r="D34" i="17"/>
  <c r="C35" i="1" s="1"/>
  <c r="D17" i="17"/>
  <c r="C18" i="1" s="1"/>
  <c r="D24" i="17"/>
  <c r="C25" i="1" s="1"/>
  <c r="D22" i="17"/>
  <c r="C23" i="1" s="1"/>
  <c r="D18" i="17"/>
  <c r="C19" i="1" s="1"/>
  <c r="D44" i="17"/>
  <c r="C45" i="1" s="1"/>
  <c r="D33" i="17"/>
  <c r="C34" i="1" s="1"/>
  <c r="D30" i="17"/>
  <c r="C31" i="1" s="1"/>
  <c r="D51" i="17"/>
  <c r="C52" i="1" s="1"/>
  <c r="D7" i="17"/>
  <c r="D46" i="17"/>
  <c r="C47" i="1" s="1"/>
  <c r="D15" i="17"/>
  <c r="C16" i="1" s="1"/>
  <c r="D54" i="17"/>
  <c r="C55" i="1" s="1"/>
  <c r="D9" i="17"/>
  <c r="C10" i="1" s="1"/>
  <c r="D14" i="17"/>
  <c r="C15" i="1" s="1"/>
  <c r="H22" i="17"/>
  <c r="D23" i="1" s="1"/>
  <c r="H30" i="17"/>
  <c r="D31" i="1" s="1"/>
  <c r="H24" i="17"/>
  <c r="D25" i="1" s="1"/>
  <c r="H19" i="17"/>
  <c r="D20" i="1" s="1"/>
  <c r="H16" i="17"/>
  <c r="D17" i="1" s="1"/>
  <c r="H42" i="17"/>
  <c r="D43" i="1" s="1"/>
  <c r="H48" i="17"/>
  <c r="D49" i="1" s="1"/>
  <c r="H47" i="17"/>
  <c r="D48" i="1" s="1"/>
  <c r="H27" i="17"/>
  <c r="D28" i="1" s="1"/>
  <c r="H43" i="17"/>
  <c r="D44" i="1" s="1"/>
  <c r="H13" i="17"/>
  <c r="D14" i="1" s="1"/>
  <c r="H39" i="17"/>
  <c r="D40" i="1" s="1"/>
  <c r="H11" i="17"/>
  <c r="D12" i="1" s="1"/>
  <c r="H37" i="17"/>
  <c r="D38" i="1" s="1"/>
  <c r="H44" i="17"/>
  <c r="D45" i="1" s="1"/>
  <c r="H31" i="17"/>
  <c r="D32" i="1" s="1"/>
  <c r="H8" i="17"/>
  <c r="D9" i="1" s="1"/>
  <c r="H49" i="17"/>
  <c r="D50" i="1" s="1"/>
  <c r="H45" i="17"/>
  <c r="D46" i="1" s="1"/>
  <c r="H40" i="17"/>
  <c r="D41" i="1" s="1"/>
  <c r="H10" i="17"/>
  <c r="D11" i="1" s="1"/>
  <c r="H29" i="17"/>
  <c r="D30" i="1" s="1"/>
  <c r="H51" i="17"/>
  <c r="D52" i="1" s="1"/>
  <c r="H34" i="17"/>
  <c r="D35" i="1" s="1"/>
  <c r="H33" i="17"/>
  <c r="D34" i="1" s="1"/>
  <c r="F5" i="17"/>
  <c r="H25" i="17"/>
  <c r="D26" i="1" s="1"/>
  <c r="H54" i="17"/>
  <c r="D55" i="1" s="1"/>
  <c r="H7" i="17"/>
  <c r="H50" i="17"/>
  <c r="D51" i="1" s="1"/>
  <c r="H20" i="17"/>
  <c r="D21" i="1" s="1"/>
  <c r="H35" i="17"/>
  <c r="D36" i="1" s="1"/>
  <c r="H36" i="17"/>
  <c r="D37" i="1" s="1"/>
  <c r="H18" i="17"/>
  <c r="D19" i="1" s="1"/>
  <c r="H17" i="17"/>
  <c r="D18" i="1" s="1"/>
  <c r="H28" i="17"/>
  <c r="D29" i="1" s="1"/>
  <c r="H26" i="17"/>
  <c r="D27" i="1" s="1"/>
  <c r="H23" i="17"/>
  <c r="D24" i="1" s="1"/>
  <c r="H12" i="17"/>
  <c r="D13" i="1" s="1"/>
  <c r="H52" i="17"/>
  <c r="D53" i="1" s="1"/>
  <c r="H15" i="17"/>
  <c r="D16" i="1" s="1"/>
  <c r="H41" i="17"/>
  <c r="D42" i="1" s="1"/>
  <c r="H38" i="17"/>
  <c r="D39" i="1" s="1"/>
  <c r="H32" i="17"/>
  <c r="D33" i="1" s="1"/>
  <c r="H9" i="17"/>
  <c r="D10" i="1" s="1"/>
  <c r="H53" i="17"/>
  <c r="D54" i="1" s="1"/>
  <c r="H46" i="17"/>
  <c r="D47" i="1" s="1"/>
  <c r="H14" i="17"/>
  <c r="D15" i="1" s="1"/>
  <c r="H21" i="17"/>
  <c r="D22" i="1" s="1"/>
  <c r="AF26" i="17"/>
  <c r="J27" i="1" s="1"/>
  <c r="AF41" i="17"/>
  <c r="J42" i="1" s="1"/>
  <c r="AF36" i="17"/>
  <c r="J37" i="1" s="1"/>
  <c r="AF18" i="17"/>
  <c r="J19" i="1" s="1"/>
  <c r="AF40" i="17"/>
  <c r="J41" i="1" s="1"/>
  <c r="AF31" i="17"/>
  <c r="J32" i="1" s="1"/>
  <c r="AF23" i="17"/>
  <c r="J24" i="1" s="1"/>
  <c r="AF30" i="17"/>
  <c r="J31" i="1" s="1"/>
  <c r="AF11" i="17"/>
  <c r="J12" i="1" s="1"/>
  <c r="AF50" i="17"/>
  <c r="J51" i="1" s="1"/>
  <c r="AF16" i="17"/>
  <c r="J17" i="1" s="1"/>
  <c r="AF17" i="17"/>
  <c r="J18" i="1" s="1"/>
  <c r="AF25" i="17"/>
  <c r="J26" i="1" s="1"/>
  <c r="AF51" i="17"/>
  <c r="J52" i="1" s="1"/>
  <c r="AF44" i="17"/>
  <c r="J45" i="1" s="1"/>
  <c r="AF20" i="17"/>
  <c r="J21" i="1" s="1"/>
  <c r="AF43" i="17"/>
  <c r="J44" i="1" s="1"/>
  <c r="AF45" i="17"/>
  <c r="J46" i="1" s="1"/>
  <c r="AF46" i="17"/>
  <c r="J47" i="1" s="1"/>
  <c r="AF12" i="17"/>
  <c r="J13" i="1" s="1"/>
  <c r="AF24" i="17"/>
  <c r="J25" i="1" s="1"/>
  <c r="AF8" i="17"/>
  <c r="J9" i="1" s="1"/>
  <c r="AF21" i="17"/>
  <c r="J22" i="1" s="1"/>
  <c r="AF52" i="17"/>
  <c r="J53" i="1" s="1"/>
  <c r="AF39" i="17"/>
  <c r="J40" i="1" s="1"/>
  <c r="AF29" i="17"/>
  <c r="J30" i="1" s="1"/>
  <c r="AF48" i="17"/>
  <c r="J49" i="1" s="1"/>
  <c r="AF9" i="17"/>
  <c r="J10" i="1" s="1"/>
  <c r="AF35" i="17"/>
  <c r="J36" i="1" s="1"/>
  <c r="AF13" i="17"/>
  <c r="J14" i="1" s="1"/>
  <c r="AF19" i="17"/>
  <c r="J20" i="1" s="1"/>
  <c r="AF53" i="17"/>
  <c r="J54" i="1" s="1"/>
  <c r="AF54" i="17"/>
  <c r="J55" i="1" s="1"/>
  <c r="AF27" i="17"/>
  <c r="J28" i="1" s="1"/>
  <c r="AF34" i="17"/>
  <c r="J35" i="1" s="1"/>
  <c r="AF7" i="17"/>
  <c r="AF42" i="17"/>
  <c r="J43" i="1" s="1"/>
  <c r="AF47" i="17"/>
  <c r="J48" i="1" s="1"/>
  <c r="AF14" i="17"/>
  <c r="J15" i="1" s="1"/>
  <c r="AF37" i="17"/>
  <c r="J38" i="1" s="1"/>
  <c r="AF10" i="17"/>
  <c r="J11" i="1" s="1"/>
  <c r="AF28" i="17"/>
  <c r="J29" i="1" s="1"/>
  <c r="AF38" i="17"/>
  <c r="J39" i="1" s="1"/>
  <c r="AF49" i="17"/>
  <c r="J50" i="1" s="1"/>
  <c r="AF15" i="17"/>
  <c r="J16" i="1" s="1"/>
  <c r="AF22" i="17"/>
  <c r="J23" i="1" s="1"/>
  <c r="AF32" i="17"/>
  <c r="J33" i="1" s="1"/>
  <c r="AD5" i="17"/>
  <c r="AF33" i="17"/>
  <c r="J34" i="1" s="1"/>
  <c r="T37" i="17"/>
  <c r="G38" i="1" s="1"/>
  <c r="T51" i="17"/>
  <c r="G52" i="1" s="1"/>
  <c r="T49" i="17"/>
  <c r="G50" i="1" s="1"/>
  <c r="T38" i="17"/>
  <c r="G39" i="1" s="1"/>
  <c r="T20" i="17"/>
  <c r="G21" i="1" s="1"/>
  <c r="T26" i="17"/>
  <c r="G27" i="1" s="1"/>
  <c r="T31" i="17"/>
  <c r="G32" i="1" s="1"/>
  <c r="T24" i="17"/>
  <c r="G25" i="1" s="1"/>
  <c r="T50" i="17"/>
  <c r="G51" i="1" s="1"/>
  <c r="T8" i="17"/>
  <c r="G9" i="1" s="1"/>
  <c r="R5" i="17"/>
  <c r="T41" i="17"/>
  <c r="G42" i="1" s="1"/>
  <c r="T12" i="17"/>
  <c r="G13" i="1" s="1"/>
  <c r="T32" i="17"/>
  <c r="G33" i="1" s="1"/>
  <c r="T40" i="17"/>
  <c r="G41" i="1" s="1"/>
  <c r="T11" i="17"/>
  <c r="G12" i="1" s="1"/>
  <c r="T7" i="17"/>
  <c r="T53" i="17"/>
  <c r="G54" i="1" s="1"/>
  <c r="T43" i="17"/>
  <c r="G44" i="1" s="1"/>
  <c r="T33" i="17"/>
  <c r="G34" i="1" s="1"/>
  <c r="T27" i="17"/>
  <c r="G28" i="1" s="1"/>
  <c r="T17" i="17"/>
  <c r="G18" i="1" s="1"/>
  <c r="T34" i="17"/>
  <c r="G35" i="1" s="1"/>
  <c r="T14" i="17"/>
  <c r="G15" i="1" s="1"/>
  <c r="T54" i="17"/>
  <c r="G55" i="1" s="1"/>
  <c r="T22" i="17"/>
  <c r="G23" i="1" s="1"/>
  <c r="T35" i="17"/>
  <c r="G36" i="1" s="1"/>
  <c r="T30" i="17"/>
  <c r="G31" i="1" s="1"/>
  <c r="T29" i="17"/>
  <c r="G30" i="1" s="1"/>
  <c r="T23" i="17"/>
  <c r="G24" i="1" s="1"/>
  <c r="T19" i="17"/>
  <c r="G20" i="1" s="1"/>
  <c r="T36" i="17"/>
  <c r="G37" i="1" s="1"/>
  <c r="T47" i="17"/>
  <c r="G48" i="1" s="1"/>
  <c r="T28" i="17"/>
  <c r="G29" i="1" s="1"/>
  <c r="T39" i="17"/>
  <c r="G40" i="1" s="1"/>
  <c r="T10" i="17"/>
  <c r="G11" i="1" s="1"/>
  <c r="T52" i="17"/>
  <c r="G53" i="1" s="1"/>
  <c r="T48" i="17"/>
  <c r="G49" i="1" s="1"/>
  <c r="T25" i="17"/>
  <c r="G26" i="1" s="1"/>
  <c r="T45" i="17"/>
  <c r="G46" i="1" s="1"/>
  <c r="T46" i="17"/>
  <c r="G47" i="1" s="1"/>
  <c r="T9" i="17"/>
  <c r="G10" i="1" s="1"/>
  <c r="T18" i="17"/>
  <c r="G19" i="1" s="1"/>
  <c r="T16" i="17"/>
  <c r="G17" i="1" s="1"/>
  <c r="T42" i="17"/>
  <c r="G43" i="1" s="1"/>
  <c r="T44" i="17"/>
  <c r="G45" i="1" s="1"/>
  <c r="T13" i="17"/>
  <c r="G14" i="1" s="1"/>
  <c r="T21" i="17"/>
  <c r="G22" i="1" s="1"/>
  <c r="T15" i="17"/>
  <c r="G16" i="1" s="1"/>
  <c r="P26" i="17"/>
  <c r="F27" i="1" s="1"/>
  <c r="P33" i="17"/>
  <c r="F34" i="1" s="1"/>
  <c r="P15" i="17"/>
  <c r="F16" i="1" s="1"/>
  <c r="P14" i="17"/>
  <c r="F15" i="1" s="1"/>
  <c r="P13" i="17"/>
  <c r="F14" i="1" s="1"/>
  <c r="P32" i="17"/>
  <c r="F33" i="1" s="1"/>
  <c r="P50" i="17"/>
  <c r="F51" i="1" s="1"/>
  <c r="P8" i="17"/>
  <c r="F9" i="1" s="1"/>
  <c r="P39" i="17"/>
  <c r="F40" i="1" s="1"/>
  <c r="P41" i="17"/>
  <c r="F42" i="1" s="1"/>
  <c r="P20" i="17"/>
  <c r="F21" i="1" s="1"/>
  <c r="P49" i="17"/>
  <c r="F50" i="1" s="1"/>
  <c r="P36" i="17"/>
  <c r="F37" i="1" s="1"/>
  <c r="P31" i="17"/>
  <c r="F32" i="1" s="1"/>
  <c r="P37" i="17"/>
  <c r="F38" i="1" s="1"/>
  <c r="P30" i="17"/>
  <c r="F31" i="1" s="1"/>
  <c r="P28" i="17"/>
  <c r="F29" i="1" s="1"/>
  <c r="P17" i="17"/>
  <c r="F18" i="1" s="1"/>
  <c r="P46" i="17"/>
  <c r="F47" i="1" s="1"/>
  <c r="P9" i="17"/>
  <c r="F10" i="1" s="1"/>
  <c r="P34" i="17"/>
  <c r="F35" i="1" s="1"/>
  <c r="P23" i="17"/>
  <c r="F24" i="1" s="1"/>
  <c r="P35" i="17"/>
  <c r="F36" i="1" s="1"/>
  <c r="P47" i="17"/>
  <c r="F48" i="1" s="1"/>
  <c r="P18" i="17"/>
  <c r="F19" i="1" s="1"/>
  <c r="P48" i="17"/>
  <c r="F49" i="1" s="1"/>
  <c r="P21" i="17"/>
  <c r="F22" i="1" s="1"/>
  <c r="P29" i="17"/>
  <c r="F30" i="1" s="1"/>
  <c r="P12" i="17"/>
  <c r="F13" i="1" s="1"/>
  <c r="P7" i="17"/>
  <c r="P10" i="17"/>
  <c r="F11" i="1" s="1"/>
  <c r="P25" i="17"/>
  <c r="F26" i="1" s="1"/>
  <c r="P22" i="17"/>
  <c r="F23" i="1" s="1"/>
  <c r="P40" i="17"/>
  <c r="F41" i="1" s="1"/>
  <c r="P44" i="17"/>
  <c r="F45" i="1" s="1"/>
  <c r="P43" i="17"/>
  <c r="F44" i="1" s="1"/>
  <c r="P45" i="17"/>
  <c r="F46" i="1" s="1"/>
  <c r="P38" i="17"/>
  <c r="F39" i="1" s="1"/>
  <c r="P19" i="17"/>
  <c r="F20" i="1" s="1"/>
  <c r="P24" i="17"/>
  <c r="F25" i="1" s="1"/>
  <c r="P53" i="17"/>
  <c r="F54" i="1" s="1"/>
  <c r="P52" i="17"/>
  <c r="F53" i="1" s="1"/>
  <c r="P11" i="17"/>
  <c r="F12" i="1" s="1"/>
  <c r="P54" i="17"/>
  <c r="F55" i="1" s="1"/>
  <c r="P27" i="17"/>
  <c r="F28" i="1" s="1"/>
  <c r="N5" i="17"/>
  <c r="P51" i="17"/>
  <c r="F52" i="1" s="1"/>
  <c r="P42" i="17"/>
  <c r="F43" i="1" s="1"/>
  <c r="P16" i="17"/>
  <c r="F17" i="1" s="1"/>
  <c r="F8" i="1" l="1"/>
  <c r="P55" i="17"/>
  <c r="C8" i="1"/>
  <c r="D55" i="17"/>
  <c r="T55" i="17"/>
  <c r="G8" i="1"/>
  <c r="D8" i="1"/>
  <c r="H55" i="17"/>
  <c r="E8" i="1"/>
  <c r="L55" i="17"/>
  <c r="J8" i="1"/>
  <c r="AF55" i="17"/>
  <c r="X55" i="17"/>
  <c r="H8" i="1"/>
  <c r="I8" i="1"/>
  <c r="AB55" i="17"/>
  <c r="E56" i="1" l="1"/>
  <c r="E57" i="1"/>
  <c r="J57" i="1"/>
  <c r="J56" i="1"/>
  <c r="I56" i="1"/>
  <c r="I57" i="1"/>
  <c r="C56" i="1"/>
  <c r="C57" i="1"/>
  <c r="D57" i="1"/>
  <c r="D56" i="1"/>
  <c r="G56" i="1"/>
  <c r="G57" i="1"/>
  <c r="H56" i="1"/>
  <c r="H57" i="1"/>
  <c r="F56" i="1"/>
  <c r="F57" i="1"/>
  <c r="R8" i="1" l="1"/>
  <c r="G6" i="20"/>
  <c r="R10" i="1"/>
  <c r="G8" i="20"/>
  <c r="R7" i="1"/>
  <c r="G5" i="20"/>
  <c r="S7" i="1"/>
  <c r="H5" i="20"/>
  <c r="S11" i="1"/>
  <c r="H9" i="20"/>
  <c r="R11" i="1"/>
  <c r="G9" i="20"/>
  <c r="S10" i="1"/>
  <c r="H8" i="20"/>
  <c r="S6" i="1"/>
  <c r="H4" i="20"/>
  <c r="S12" i="1"/>
  <c r="H10" i="20"/>
  <c r="R12" i="1"/>
  <c r="G10" i="20"/>
  <c r="R6" i="1"/>
  <c r="G4" i="20"/>
  <c r="S9" i="1"/>
  <c r="H7" i="20"/>
  <c r="R13" i="1"/>
  <c r="G11" i="20"/>
  <c r="S8" i="1"/>
  <c r="H6" i="20"/>
  <c r="R9" i="1"/>
  <c r="G7" i="20"/>
  <c r="S13" i="1"/>
  <c r="H11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</futureMetadata>
  <cellMetadata count="1">
    <bk>
      <rc t="1" v="0"/>
    </bk>
  </cellMetadata>
  <valueMetadata count="41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</valueMetadata>
</metadata>
</file>

<file path=xl/sharedStrings.xml><?xml version="1.0" encoding="utf-8"?>
<sst xmlns="http://schemas.openxmlformats.org/spreadsheetml/2006/main" count="587" uniqueCount="251">
  <si>
    <t>Date</t>
  </si>
  <si>
    <t>Symbol</t>
  </si>
  <si>
    <t>Company</t>
  </si>
  <si>
    <t>Category</t>
  </si>
  <si>
    <t>Average 4 year return</t>
  </si>
  <si>
    <t>C3</t>
  </si>
  <si>
    <t>C4</t>
  </si>
  <si>
    <t>C2</t>
  </si>
  <si>
    <t>C1</t>
  </si>
  <si>
    <t>Healthcare</t>
  </si>
  <si>
    <t>Technology</t>
  </si>
  <si>
    <t>R1</t>
  </si>
  <si>
    <t>R2</t>
  </si>
  <si>
    <t>R3</t>
  </si>
  <si>
    <t>&lt;=</t>
  </si>
  <si>
    <t>Stnd Deviation of 4 years</t>
  </si>
  <si>
    <t>DECISION VARIABLES</t>
  </si>
  <si>
    <t>OBJECTIVE FUNCTION</t>
  </si>
  <si>
    <t>CONSTRAINTS</t>
  </si>
  <si>
    <t>Function</t>
  </si>
  <si>
    <t>Financial Services</t>
  </si>
  <si>
    <t>TFC-symbal of the company- get it from Yahoo finance while looking for th category</t>
  </si>
  <si>
    <t>01-01-2021-starting month -given in UA format (MM/DD/YYYY)</t>
  </si>
  <si>
    <t>2 -frequency for monthly data (interval:0 daily, 1 weekly, 2 monthly)</t>
  </si>
  <si>
    <t>0-date</t>
  </si>
  <si>
    <t>1 -show the  header</t>
  </si>
  <si>
    <t>Communication services</t>
  </si>
  <si>
    <r>
      <t xml:space="preserve">01-01-2025 -ending date -(MM-DD-YYYY) </t>
    </r>
    <r>
      <rPr>
        <b/>
        <sz val="11"/>
        <color rgb="FFFF0000"/>
        <rFont val="Calibri"/>
        <family val="2"/>
        <scheme val="minor"/>
      </rPr>
      <t>49</t>
    </r>
    <r>
      <rPr>
        <b/>
        <sz val="11"/>
        <color theme="1"/>
        <rFont val="Calibri"/>
        <family val="2"/>
        <scheme val="minor"/>
      </rPr>
      <t xml:space="preserve"> months</t>
    </r>
  </si>
  <si>
    <t>Calculate the monthly rate of return shown in D column</t>
  </si>
  <si>
    <t>Category code for chosen assests</t>
  </si>
  <si>
    <t>Risk Category  (R1 / R2 /R3)</t>
  </si>
  <si>
    <t>1-closing price</t>
  </si>
  <si>
    <t>Total</t>
  </si>
  <si>
    <t>at least two investments</t>
  </si>
  <si>
    <t xml:space="preserve">Category code </t>
  </si>
  <si>
    <t>Category sub code for chosen assests</t>
  </si>
  <si>
    <t>Ave. Annual Return Rate (48 mths)</t>
  </si>
  <si>
    <t xml:space="preserve"> S11</t>
  </si>
  <si>
    <t>S12</t>
  </si>
  <si>
    <t>S21</t>
  </si>
  <si>
    <t>S22</t>
  </si>
  <si>
    <t>S31</t>
  </si>
  <si>
    <t>S32</t>
  </si>
  <si>
    <t>S41</t>
  </si>
  <si>
    <t>S42</t>
  </si>
  <si>
    <t>S1</t>
  </si>
  <si>
    <t>S2</t>
  </si>
  <si>
    <t>S3</t>
  </si>
  <si>
    <t>S4</t>
  </si>
  <si>
    <t>Health Care S1</t>
  </si>
  <si>
    <t>Technology S2</t>
  </si>
  <si>
    <t>Communi. Services         S3</t>
  </si>
  <si>
    <t>Financial. Ser   S4</t>
  </si>
  <si>
    <t>Sector</t>
  </si>
  <si>
    <t>Table 1.b.1</t>
  </si>
  <si>
    <t>Table 1.b.2</t>
  </si>
  <si>
    <t>Table 1.b.3</t>
  </si>
  <si>
    <t>Using the closing stock prices of 49 monthly data calculate the monthly rate of returns for 48 months commencing from 1st of January 2021 to 1st of January 2025</t>
  </si>
  <si>
    <t>Table 1.a.1</t>
  </si>
  <si>
    <t>ILP model</t>
  </si>
  <si>
    <t>(ASX.PME)</t>
  </si>
  <si>
    <t>Code</t>
  </si>
  <si>
    <t>(ASX:TLS)</t>
  </si>
  <si>
    <t>(ASX:CBA)</t>
  </si>
  <si>
    <t xml:space="preserve"> (ASX:XRO)</t>
  </si>
  <si>
    <t>Monthly rate of return of Pro Medicus Limited</t>
  </si>
  <si>
    <t xml:space="preserve"> Monthly rate of return of Xero Limited</t>
  </si>
  <si>
    <t xml:space="preserve">Monthly rate of return of Telstra Group Limited </t>
  </si>
  <si>
    <t xml:space="preserve">Monthly rate of return of Commonwealth Bank </t>
  </si>
  <si>
    <t>STOCKHISTORY("XASX:PME","01-01-2021","01-01-2025",2,1,0,1)</t>
  </si>
  <si>
    <t>(ASX:PME)</t>
  </si>
  <si>
    <t>Pro Medicus Limited</t>
  </si>
  <si>
    <t>(ASX:XRO)</t>
  </si>
  <si>
    <t>Xero Limited</t>
  </si>
  <si>
    <t xml:space="preserve"> (ASX:TLS)</t>
  </si>
  <si>
    <t xml:space="preserve"> Telstra Group Limited</t>
  </si>
  <si>
    <t>Commonwealth Bank</t>
  </si>
  <si>
    <t>column F,J,N…... should be completed by students</t>
  </si>
  <si>
    <t>LP Model summary sheet</t>
  </si>
  <si>
    <t>ILP Model summary sheet</t>
  </si>
  <si>
    <t>LP model</t>
  </si>
  <si>
    <t xml:space="preserve"> (ASX:NXT)</t>
  </si>
  <si>
    <t>NEXTDC Limited</t>
  </si>
  <si>
    <t>(ASX:TPG)</t>
  </si>
  <si>
    <t>TPG Telecom Limited</t>
  </si>
  <si>
    <t>(ASX:AFG)</t>
  </si>
  <si>
    <t>Australian Finance Group Limited</t>
  </si>
  <si>
    <t>Monthly return of NEXTDC Limited (ASX:NXT)</t>
  </si>
  <si>
    <t>Monthly return of Australian Finance Group Limited (ASX:AFG)</t>
  </si>
  <si>
    <t>Monthly retun of TPG Telecom Limited (ASX:TPG)</t>
  </si>
  <si>
    <t>Monthly return of NEXTDC Limited</t>
  </si>
  <si>
    <t>Monthly retun of TPG Telecom Limited</t>
  </si>
  <si>
    <t xml:space="preserve">Monthly return of Australian Finance Group Limited </t>
  </si>
  <si>
    <t>(ASX.TPG)</t>
  </si>
  <si>
    <t>(ASX.AFG)</t>
  </si>
  <si>
    <t>(ASX.NXT)</t>
  </si>
  <si>
    <t>Monthly return of Xero Limited (ASX:XRO)</t>
  </si>
  <si>
    <t>Monthly return of Pro Medicus Limited (ASX.PME)</t>
  </si>
  <si>
    <t>Monthly retun of Telstra Group Limited (ASX:TLS)</t>
  </si>
  <si>
    <t>Monthly return of Commonwealth Bank (ASX:CBA)</t>
  </si>
  <si>
    <t>Monthly return of CSL Limited (ASX.CSL)</t>
  </si>
  <si>
    <t>(ASX.CSL)</t>
  </si>
  <si>
    <t xml:space="preserve">CSL Limited </t>
  </si>
  <si>
    <t>Monthly return of CSL Limited</t>
  </si>
  <si>
    <t>CSL Limited</t>
  </si>
  <si>
    <t xml:space="preserve">Australian Finance Group Limited </t>
  </si>
  <si>
    <t>Min</t>
  </si>
  <si>
    <t>Max</t>
  </si>
  <si>
    <t>Telstra Group Limited</t>
  </si>
  <si>
    <t>The total investment in high-risk assets (R3) must not exceed 15% of the overall portfolio.</t>
  </si>
  <si>
    <t>Expected Return</t>
  </si>
  <si>
    <t xml:space="preserve"> &lt;=</t>
  </si>
  <si>
    <t>&gt;=</t>
  </si>
  <si>
    <t>LHS</t>
  </si>
  <si>
    <t>RHS</t>
  </si>
  <si>
    <t>The sum of all 8 investments must add up to exactly 100% of the portfolio.</t>
  </si>
  <si>
    <t>3 a)</t>
  </si>
  <si>
    <t>3 b)</t>
  </si>
  <si>
    <t>3 c)</t>
  </si>
  <si>
    <t> =</t>
  </si>
  <si>
    <t>Microsoft Excel 16.0 Sensitivity Report</t>
  </si>
  <si>
    <t xml:space="preserve">Worksheet: [Jayendra A1 Worksheet.xlsx]2.a. LP Modelling 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</si>
  <si>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</si>
  <si>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</si>
  <si>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</si>
  <si>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</si>
  <si>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</si>
  <si>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</si>
  <si>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</si>
  <si>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</si>
  <si>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</si>
  <si>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</si>
  <si>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</si>
  <si>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</si>
  <si>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</si>
  <si>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</si>
  <si>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</si>
  <si>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</si>
  <si>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</si>
  <si>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$D$5</t>
  </si>
  <si>
    <t>$E$5</t>
  </si>
  <si>
    <t>$F$5</t>
  </si>
  <si>
    <t>$G$5</t>
  </si>
  <si>
    <t>$H$5</t>
  </si>
  <si>
    <t>$I$5</t>
  </si>
  <si>
    <t>$J$5</t>
  </si>
  <si>
    <t>$K$5</t>
  </si>
  <si>
    <t>$L$17</t>
  </si>
  <si>
    <t>The total investment in high-risk assets (R3) must not exceed 15% of the overall portfolio. LHS</t>
  </si>
  <si>
    <t>$L$18</t>
  </si>
  <si>
    <t>$L$19</t>
  </si>
  <si>
    <t>Sector S1 (Healthcare) ≥ 15% LHS</t>
  </si>
  <si>
    <t>$L$20</t>
  </si>
  <si>
    <t>Sector S2 (Technology) ≥ 15% LHS</t>
  </si>
  <si>
    <t>$L$21</t>
  </si>
  <si>
    <t>Sector S3 (Communication Services) ≥ 15% LHS</t>
  </si>
  <si>
    <t>$L$22</t>
  </si>
  <si>
    <t>Sector S4 (Financials) ≥ 20%  LHS</t>
  </si>
  <si>
    <t>$L$23</t>
  </si>
  <si>
    <t>$L$24</t>
  </si>
  <si>
    <t>$L$25</t>
  </si>
  <si>
    <t>The sum of all 8 investments must add up to exactly 100% of the portfolio. LHS</t>
  </si>
  <si>
    <t>2a)</t>
  </si>
  <si>
    <t>1)</t>
  </si>
  <si>
    <t>2)</t>
  </si>
  <si>
    <t>3)</t>
  </si>
  <si>
    <t>4)</t>
  </si>
  <si>
    <t>3 d)</t>
  </si>
  <si>
    <t>4a)</t>
  </si>
  <si>
    <t>4b)</t>
  </si>
  <si>
    <t>4c)</t>
  </si>
  <si>
    <t>4d)</t>
  </si>
  <si>
    <t>4e)</t>
  </si>
  <si>
    <t>4f)</t>
  </si>
  <si>
    <t>4g)</t>
  </si>
  <si>
    <t>4h)</t>
  </si>
  <si>
    <t xml:space="preserve">The total of R1 should be greater than or equal to R2 and R3 asset categories </t>
  </si>
  <si>
    <t>Report Created: 8/04/2025 1:23:04 AM</t>
  </si>
  <si>
    <t>The total of R1 should be greater than or equal to R2 and R3 asset categories  LHS</t>
  </si>
  <si>
    <t>Min investment for S11 LHS</t>
  </si>
  <si>
    <t>Min investment for S12 LHS</t>
  </si>
  <si>
    <t>Min investment for S21 LHS</t>
  </si>
  <si>
    <t>$L$26</t>
  </si>
  <si>
    <t>Min investment for S22 LHS</t>
  </si>
  <si>
    <t>$L$27</t>
  </si>
  <si>
    <t>Min investment for S31 LHS</t>
  </si>
  <si>
    <t>$L$28</t>
  </si>
  <si>
    <t>Min investment for S32 LHS</t>
  </si>
  <si>
    <t>$L$29</t>
  </si>
  <si>
    <t>Min investment for S41 LHS</t>
  </si>
  <si>
    <t>$L$30</t>
  </si>
  <si>
    <t>Min investment for S42 LHS</t>
  </si>
  <si>
    <t>$L$31</t>
  </si>
  <si>
    <t>To have a balanced risk portfolio, investment in medium-risk assets (R2) must be at least 25% of the portfolio LHS</t>
  </si>
  <si>
    <t>$L$32</t>
  </si>
  <si>
    <t>2b)</t>
  </si>
  <si>
    <t>2c)</t>
  </si>
  <si>
    <t>2d)</t>
  </si>
  <si>
    <t>Must represent sector 1 (S11, S12) ≥ 1</t>
  </si>
  <si>
    <t>Must represent  sector 2 (S21, S22) ≥ 1</t>
  </si>
  <si>
    <t>Must represent  sector 3 (S31, S32) ≥ 1</t>
  </si>
  <si>
    <t>Must represent  sector 4 (S41, S42) ≥ 1</t>
  </si>
  <si>
    <t>5)</t>
  </si>
  <si>
    <t>6)</t>
  </si>
  <si>
    <t xml:space="preserve">Must represent atleast one from R2 assets </t>
  </si>
  <si>
    <t>=</t>
  </si>
  <si>
    <t xml:space="preserve">&gt;=  </t>
  </si>
  <si>
    <t>X1</t>
  </si>
  <si>
    <t>X2</t>
  </si>
  <si>
    <t>X3</t>
  </si>
  <si>
    <t>X4</t>
  </si>
  <si>
    <t>X5</t>
  </si>
  <si>
    <t>X6</t>
  </si>
  <si>
    <t>X7</t>
  </si>
  <si>
    <t>X8</t>
  </si>
  <si>
    <t xml:space="preserve">Sector </t>
  </si>
  <si>
    <t xml:space="preserve">Annual Average rate of Return </t>
  </si>
  <si>
    <t xml:space="preserve">Risk </t>
  </si>
  <si>
    <t xml:space="preserve">Annual Average Rate of Return </t>
  </si>
  <si>
    <t xml:space="preserve">Expected Return </t>
  </si>
  <si>
    <t>Invest? (1= Yes, 0 = No)</t>
  </si>
  <si>
    <t>Allocation Proportion per asset</t>
  </si>
  <si>
    <t>R3 asset (X1, X3, X8) can be selected only if at least one R2 asset (X4, X6, or X7) is selected.</t>
  </si>
  <si>
    <t>Balanced portfolio of 5 stocks</t>
  </si>
  <si>
    <t>At most one from R3 group</t>
  </si>
  <si>
    <t xml:space="preserve"> At least two from R1 group</t>
  </si>
  <si>
    <t xml:space="preserve">Standard Deviation </t>
  </si>
  <si>
    <t xml:space="preserve"> Sub Sector Code for Chosen Assets</t>
  </si>
  <si>
    <t xml:space="preserve">Sector Code </t>
  </si>
  <si>
    <t>Average 4 year Return</t>
  </si>
  <si>
    <t>Proportion of Investment</t>
  </si>
  <si>
    <t>Investment</t>
  </si>
  <si>
    <t>Optimal Value</t>
  </si>
  <si>
    <t>YES</t>
  </si>
  <si>
    <t>NO</t>
  </si>
  <si>
    <t>Monthly rate of return</t>
  </si>
  <si>
    <t>Std Deviation</t>
  </si>
  <si>
    <t>Minimum investment for  sector S2 (Technology) should be greater than or equal to 15%</t>
  </si>
  <si>
    <t>Minimum investment for sector S1 (Healthcare) should be greater than or equal to 15%</t>
  </si>
  <si>
    <t>Minimum investment for  sector S3 (Communication Services) should be greater than or equal to 15%</t>
  </si>
  <si>
    <t>Minimum investment for  sector S4 (Financials) should be greater than or equal to 20%</t>
  </si>
  <si>
    <t>Minimum investment for S11</t>
  </si>
  <si>
    <t>Minimum investment for S12</t>
  </si>
  <si>
    <t>Minimum investment for S21</t>
  </si>
  <si>
    <t>Minimum investment for S22</t>
  </si>
  <si>
    <t>Minimum investment for S31</t>
  </si>
  <si>
    <t>Minimum investment for S32</t>
  </si>
  <si>
    <t>Minimum investment for S41</t>
  </si>
  <si>
    <t>Minimum investment for S42</t>
  </si>
  <si>
    <t>Investment in medium-risk assets (R2) must be at least 25% of the portfolio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</si>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</sst>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i/>
      <sz val="12"/>
      <color rgb="FF0033CC"/>
      <name val="Calibri"/>
      <family val="2"/>
      <scheme val="minor"/>
    </font>
    <font>
      <b/>
      <sz val="16"/>
      <color rgb="FF0033CC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7030A0"/>
      <name val="Times New Roman"/>
      <family val="1"/>
    </font>
    <font>
      <b/>
      <sz val="11"/>
      <name val="Times New Roman"/>
      <family val="1"/>
    </font>
    <font>
      <b/>
      <sz val="11"/>
      <color indexed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1D35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7030A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33CC"/>
      <name val="Calibri"/>
      <family val="2"/>
      <scheme val="minor"/>
    </font>
    <font>
      <sz val="11"/>
      <color rgb="FF232A31"/>
      <name val="Calibri"/>
      <family val="2"/>
      <scheme val="minor"/>
    </font>
    <font>
      <b/>
      <u/>
      <sz val="14"/>
      <color rgb="FF0033CC"/>
      <name val="Calibri"/>
      <family val="2"/>
      <scheme val="minor"/>
    </font>
    <font>
      <b/>
      <i/>
      <sz val="11"/>
      <color theme="8" tint="-0.499984740745262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0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center"/>
    </xf>
    <xf numFmtId="0" fontId="2" fillId="8" borderId="0" xfId="0" applyFont="1" applyFill="1"/>
    <xf numFmtId="10" fontId="0" fillId="4" borderId="1" xfId="1" applyNumberFormat="1" applyFont="1" applyFill="1" applyBorder="1" applyAlignment="1">
      <alignment horizontal="center"/>
    </xf>
    <xf numFmtId="10" fontId="8" fillId="0" borderId="0" xfId="1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0" fontId="2" fillId="10" borderId="0" xfId="1" applyNumberFormat="1" applyFont="1" applyFill="1" applyBorder="1" applyAlignment="1">
      <alignment horizontal="center" vertical="center"/>
    </xf>
    <xf numFmtId="0" fontId="11" fillId="8" borderId="0" xfId="0" applyFont="1" applyFill="1"/>
    <xf numFmtId="10" fontId="0" fillId="7" borderId="0" xfId="1" applyNumberFormat="1" applyFont="1" applyFill="1" applyAlignment="1">
      <alignment horizontal="center"/>
    </xf>
    <xf numFmtId="10" fontId="0" fillId="12" borderId="0" xfId="1" applyNumberFormat="1" applyFont="1" applyFill="1" applyBorder="1" applyAlignment="1">
      <alignment horizontal="center"/>
    </xf>
    <xf numFmtId="10" fontId="8" fillId="12" borderId="0" xfId="1" applyNumberFormat="1" applyFont="1" applyFill="1" applyAlignment="1">
      <alignment horizontal="center"/>
    </xf>
    <xf numFmtId="10" fontId="11" fillId="12" borderId="0" xfId="1" applyNumberFormat="1" applyFont="1" applyFill="1" applyBorder="1" applyAlignment="1">
      <alignment horizontal="center"/>
    </xf>
    <xf numFmtId="0" fontId="11" fillId="0" borderId="0" xfId="0" applyFont="1"/>
    <xf numFmtId="0" fontId="13" fillId="0" borderId="0" xfId="0" applyFont="1"/>
    <xf numFmtId="10" fontId="0" fillId="11" borderId="8" xfId="1" applyNumberFormat="1" applyFont="1" applyFill="1" applyBorder="1" applyAlignment="1">
      <alignment horizontal="center" vertical="center"/>
    </xf>
    <xf numFmtId="10" fontId="0" fillId="11" borderId="2" xfId="1" applyNumberFormat="1" applyFont="1" applyFill="1" applyBorder="1" applyAlignment="1">
      <alignment horizontal="center" vertical="center"/>
    </xf>
    <xf numFmtId="10" fontId="2" fillId="3" borderId="8" xfId="0" applyNumberFormat="1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10" fontId="2" fillId="4" borderId="9" xfId="1" applyNumberFormat="1" applyFont="1" applyFill="1" applyBorder="1" applyAlignment="1">
      <alignment horizontal="center" vertical="center"/>
    </xf>
    <xf numFmtId="10" fontId="2" fillId="4" borderId="10" xfId="1" applyNumberFormat="1" applyFont="1" applyFill="1" applyBorder="1" applyAlignment="1">
      <alignment horizontal="center" vertical="center"/>
    </xf>
    <xf numFmtId="10" fontId="0" fillId="11" borderId="8" xfId="1" applyNumberFormat="1" applyFont="1" applyFill="1" applyBorder="1" applyAlignment="1">
      <alignment horizontal="center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6" fillId="7" borderId="17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 wrapText="1"/>
    </xf>
    <xf numFmtId="0" fontId="2" fillId="8" borderId="1" xfId="0" applyFont="1" applyFill="1" applyBorder="1"/>
    <xf numFmtId="0" fontId="2" fillId="0" borderId="1" xfId="0" applyFont="1" applyBorder="1"/>
    <xf numFmtId="10" fontId="2" fillId="0" borderId="1" xfId="1" applyNumberFormat="1" applyFont="1" applyBorder="1" applyAlignment="1">
      <alignment horizontal="center"/>
    </xf>
    <xf numFmtId="10" fontId="2" fillId="0" borderId="0" xfId="1" applyNumberFormat="1" applyFont="1" applyAlignment="1">
      <alignment horizontal="center"/>
    </xf>
    <xf numFmtId="10" fontId="2" fillId="0" borderId="0" xfId="0" applyNumberFormat="1" applyFont="1"/>
    <xf numFmtId="10" fontId="2" fillId="7" borderId="0" xfId="1" applyNumberFormat="1" applyFont="1" applyFill="1" applyAlignment="1">
      <alignment horizontal="center"/>
    </xf>
    <xf numFmtId="9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10" fontId="2" fillId="0" borderId="0" xfId="1" applyNumberFormat="1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/>
    </xf>
    <xf numFmtId="43" fontId="0" fillId="0" borderId="0" xfId="2" applyFont="1" applyBorder="1"/>
    <xf numFmtId="43" fontId="0" fillId="0" borderId="0" xfId="2" applyFont="1" applyBorder="1" applyAlignment="1"/>
    <xf numFmtId="0" fontId="2" fillId="0" borderId="18" xfId="0" applyFont="1" applyBorder="1"/>
    <xf numFmtId="0" fontId="2" fillId="0" borderId="33" xfId="0" applyFont="1" applyBorder="1"/>
    <xf numFmtId="0" fontId="2" fillId="0" borderId="11" xfId="0" applyFont="1" applyBorder="1" applyAlignment="1">
      <alignment horizontal="center"/>
    </xf>
    <xf numFmtId="0" fontId="0" fillId="0" borderId="40" xfId="0" applyBorder="1"/>
    <xf numFmtId="0" fontId="2" fillId="0" borderId="3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34" xfId="0" applyBorder="1"/>
    <xf numFmtId="0" fontId="0" fillId="7" borderId="30" xfId="2" applyNumberFormat="1" applyFont="1" applyFill="1" applyBorder="1" applyAlignment="1">
      <alignment horizontal="center" vertical="center"/>
    </xf>
    <xf numFmtId="0" fontId="0" fillId="7" borderId="34" xfId="2" applyNumberFormat="1" applyFont="1" applyFill="1" applyBorder="1" applyAlignment="1">
      <alignment horizontal="center" vertical="center"/>
    </xf>
    <xf numFmtId="0" fontId="0" fillId="7" borderId="41" xfId="2" applyNumberFormat="1" applyFont="1" applyFill="1" applyBorder="1" applyAlignment="1">
      <alignment horizontal="center" vertical="center"/>
    </xf>
    <xf numFmtId="0" fontId="0" fillId="8" borderId="43" xfId="2" applyNumberFormat="1" applyFont="1" applyFill="1" applyBorder="1" applyAlignment="1">
      <alignment horizontal="center"/>
    </xf>
    <xf numFmtId="0" fontId="0" fillId="0" borderId="36" xfId="0" applyBorder="1"/>
    <xf numFmtId="0" fontId="0" fillId="7" borderId="29" xfId="2" applyNumberFormat="1" applyFont="1" applyFill="1" applyBorder="1" applyAlignment="1">
      <alignment horizontal="center" vertical="center"/>
    </xf>
    <xf numFmtId="0" fontId="0" fillId="7" borderId="36" xfId="2" applyNumberFormat="1" applyFont="1" applyFill="1" applyBorder="1" applyAlignment="1">
      <alignment horizontal="center" vertical="center"/>
    </xf>
    <xf numFmtId="0" fontId="0" fillId="7" borderId="42" xfId="2" applyNumberFormat="1" applyFont="1" applyFill="1" applyBorder="1" applyAlignment="1">
      <alignment horizontal="center" vertical="center"/>
    </xf>
    <xf numFmtId="0" fontId="0" fillId="7" borderId="36" xfId="0" quotePrefix="1" applyFill="1" applyBorder="1" applyAlignment="1">
      <alignment horizontal="center"/>
    </xf>
    <xf numFmtId="0" fontId="0" fillId="8" borderId="36" xfId="2" applyNumberFormat="1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7" xfId="0" applyBorder="1" applyAlignment="1">
      <alignment horizontal="center"/>
    </xf>
    <xf numFmtId="0" fontId="0" fillId="0" borderId="37" xfId="0" applyBorder="1"/>
    <xf numFmtId="0" fontId="0" fillId="0" borderId="3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37" xfId="0" quotePrefix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7" borderId="0" xfId="0" applyFill="1" applyAlignment="1">
      <alignment horizontal="center"/>
    </xf>
    <xf numFmtId="0" fontId="0" fillId="7" borderId="0" xfId="0" applyFill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0" fillId="0" borderId="34" xfId="0" applyBorder="1" applyAlignment="1">
      <alignment wrapText="1"/>
    </xf>
    <xf numFmtId="0" fontId="0" fillId="9" borderId="34" xfId="2" applyNumberFormat="1" applyFont="1" applyFill="1" applyBorder="1" applyAlignment="1">
      <alignment horizontal="center"/>
    </xf>
    <xf numFmtId="0" fontId="0" fillId="7" borderId="30" xfId="0" quotePrefix="1" applyFill="1" applyBorder="1" applyAlignment="1">
      <alignment horizontal="center"/>
    </xf>
    <xf numFmtId="0" fontId="0" fillId="8" borderId="34" xfId="2" applyNumberFormat="1" applyFont="1" applyFill="1" applyBorder="1" applyAlignment="1">
      <alignment horizontal="center"/>
    </xf>
    <xf numFmtId="0" fontId="0" fillId="9" borderId="36" xfId="2" applyNumberFormat="1" applyFont="1" applyFill="1" applyBorder="1" applyAlignment="1">
      <alignment horizontal="center"/>
    </xf>
    <xf numFmtId="0" fontId="0" fillId="7" borderId="29" xfId="0" quotePrefix="1" applyFill="1" applyBorder="1" applyAlignment="1">
      <alignment horizontal="center"/>
    </xf>
    <xf numFmtId="18" fontId="2" fillId="7" borderId="0" xfId="0" applyNumberFormat="1" applyFont="1" applyFill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0" borderId="37" xfId="0" applyBorder="1" applyAlignment="1">
      <alignment wrapText="1"/>
    </xf>
    <xf numFmtId="0" fontId="0" fillId="7" borderId="37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10" fontId="0" fillId="7" borderId="0" xfId="1" applyNumberFormat="1" applyFont="1" applyFill="1" applyBorder="1"/>
    <xf numFmtId="10" fontId="0" fillId="7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1" fillId="13" borderId="11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6" borderId="16" xfId="0" applyFont="1" applyFill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6" xfId="0" applyFont="1" applyBorder="1" applyAlignment="1">
      <alignment vertical="center" wrapText="1"/>
    </xf>
    <xf numFmtId="0" fontId="22" fillId="0" borderId="11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7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43" fontId="2" fillId="2" borderId="24" xfId="2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0" fontId="2" fillId="6" borderId="1" xfId="1" applyNumberFormat="1" applyFont="1" applyFill="1" applyBorder="1" applyAlignment="1">
      <alignment horizontal="center" vertical="center" wrapText="1"/>
    </xf>
    <xf numFmtId="164" fontId="2" fillId="6" borderId="1" xfId="2" applyNumberFormat="1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7" fillId="6" borderId="1" xfId="0" applyFont="1" applyFill="1" applyBorder="1"/>
    <xf numFmtId="0" fontId="2" fillId="6" borderId="1" xfId="0" applyFont="1" applyFill="1" applyBorder="1"/>
    <xf numFmtId="10" fontId="0" fillId="13" borderId="1" xfId="1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0" fillId="7" borderId="2" xfId="0" applyFill="1" applyBorder="1"/>
    <xf numFmtId="0" fontId="23" fillId="0" borderId="0" xfId="0" applyFont="1" applyAlignment="1">
      <alignment vertical="center"/>
    </xf>
    <xf numFmtId="0" fontId="7" fillId="7" borderId="1" xfId="0" applyFont="1" applyFill="1" applyBorder="1"/>
    <xf numFmtId="0" fontId="2" fillId="7" borderId="1" xfId="0" applyFont="1" applyFill="1" applyBorder="1"/>
    <xf numFmtId="10" fontId="0" fillId="0" borderId="1" xfId="1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10" fontId="0" fillId="6" borderId="1" xfId="1" applyNumberFormat="1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10" fontId="0" fillId="7" borderId="1" xfId="1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/>
    </xf>
    <xf numFmtId="0" fontId="2" fillId="0" borderId="2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/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wrapText="1"/>
    </xf>
    <xf numFmtId="0" fontId="24" fillId="0" borderId="0" xfId="0" applyFont="1"/>
    <xf numFmtId="2" fontId="16" fillId="0" borderId="0" xfId="0" applyNumberFormat="1" applyFont="1" applyAlignment="1">
      <alignment horizontal="center" vertical="center" wrapText="1"/>
    </xf>
    <xf numFmtId="0" fontId="0" fillId="9" borderId="30" xfId="2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left"/>
    </xf>
    <xf numFmtId="0" fontId="8" fillId="6" borderId="44" xfId="0" applyFont="1" applyFill="1" applyBorder="1" applyAlignment="1">
      <alignment horizontal="left"/>
    </xf>
    <xf numFmtId="0" fontId="7" fillId="7" borderId="7" xfId="0" applyFont="1" applyFill="1" applyBorder="1" applyAlignment="1">
      <alignment horizontal="left"/>
    </xf>
    <xf numFmtId="0" fontId="8" fillId="7" borderId="44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8" fillId="7" borderId="7" xfId="0" applyFont="1" applyFill="1" applyBorder="1" applyAlignment="1">
      <alignment horizontal="left"/>
    </xf>
    <xf numFmtId="0" fontId="23" fillId="0" borderId="5" xfId="0" applyFont="1" applyBorder="1" applyAlignment="1">
      <alignment vertical="center"/>
    </xf>
    <xf numFmtId="0" fontId="6" fillId="6" borderId="36" xfId="0" applyFont="1" applyFill="1" applyBorder="1"/>
    <xf numFmtId="0" fontId="8" fillId="6" borderId="43" xfId="0" applyFont="1" applyFill="1" applyBorder="1" applyAlignment="1">
      <alignment horizontal="left"/>
    </xf>
    <xf numFmtId="0" fontId="6" fillId="7" borderId="36" xfId="0" applyFont="1" applyFill="1" applyBorder="1"/>
    <xf numFmtId="0" fontId="8" fillId="7" borderId="43" xfId="0" applyFont="1" applyFill="1" applyBorder="1" applyAlignment="1">
      <alignment horizontal="left"/>
    </xf>
    <xf numFmtId="0" fontId="2" fillId="0" borderId="38" xfId="0" applyFont="1" applyBorder="1"/>
    <xf numFmtId="0" fontId="8" fillId="7" borderId="37" xfId="0" applyFont="1" applyFill="1" applyBorder="1" applyAlignment="1">
      <alignment horizontal="left"/>
    </xf>
    <xf numFmtId="0" fontId="3" fillId="6" borderId="29" xfId="0" applyFont="1" applyFill="1" applyBorder="1"/>
    <xf numFmtId="0" fontId="3" fillId="7" borderId="29" xfId="0" applyFont="1" applyFill="1" applyBorder="1"/>
    <xf numFmtId="0" fontId="23" fillId="0" borderId="39" xfId="0" applyFont="1" applyBorder="1" applyAlignment="1">
      <alignment vertical="center"/>
    </xf>
    <xf numFmtId="0" fontId="15" fillId="13" borderId="29" xfId="0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6" borderId="29" xfId="0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10" fontId="4" fillId="6" borderId="36" xfId="1" applyNumberFormat="1" applyFont="1" applyFill="1" applyBorder="1" applyAlignment="1">
      <alignment horizontal="center"/>
    </xf>
    <xf numFmtId="10" fontId="4" fillId="6" borderId="37" xfId="1" applyNumberFormat="1" applyFont="1" applyFill="1" applyBorder="1" applyAlignment="1">
      <alignment horizontal="center"/>
    </xf>
    <xf numFmtId="10" fontId="4" fillId="6" borderId="29" xfId="1" applyNumberFormat="1" applyFont="1" applyFill="1" applyBorder="1" applyAlignment="1">
      <alignment horizontal="center"/>
    </xf>
    <xf numFmtId="10" fontId="4" fillId="6" borderId="39" xfId="1" applyNumberFormat="1" applyFont="1" applyFill="1" applyBorder="1" applyAlignment="1">
      <alignment horizontal="center"/>
    </xf>
    <xf numFmtId="164" fontId="3" fillId="6" borderId="16" xfId="2" applyNumberFormat="1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/>
    </xf>
    <xf numFmtId="0" fontId="9" fillId="6" borderId="37" xfId="0" applyFont="1" applyFill="1" applyBorder="1" applyAlignment="1">
      <alignment horizontal="center"/>
    </xf>
    <xf numFmtId="0" fontId="6" fillId="6" borderId="43" xfId="0" applyFont="1" applyFill="1" applyBorder="1"/>
    <xf numFmtId="0" fontId="3" fillId="6" borderId="30" xfId="0" applyFont="1" applyFill="1" applyBorder="1"/>
    <xf numFmtId="0" fontId="15" fillId="13" borderId="30" xfId="0" applyFont="1" applyFill="1" applyBorder="1" applyAlignment="1">
      <alignment horizontal="center" vertical="center" wrapText="1"/>
    </xf>
    <xf numFmtId="10" fontId="4" fillId="6" borderId="43" xfId="1" applyNumberFormat="1" applyFont="1" applyFill="1" applyBorder="1" applyAlignment="1">
      <alignment horizontal="center"/>
    </xf>
    <xf numFmtId="10" fontId="4" fillId="6" borderId="30" xfId="1" applyNumberFormat="1" applyFont="1" applyFill="1" applyBorder="1" applyAlignment="1">
      <alignment horizontal="center"/>
    </xf>
    <xf numFmtId="0" fontId="9" fillId="6" borderId="4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10" fontId="3" fillId="6" borderId="13" xfId="1" applyNumberFormat="1" applyFont="1" applyFill="1" applyBorder="1" applyAlignment="1">
      <alignment horizontal="center" vertical="center" wrapText="1"/>
    </xf>
    <xf numFmtId="164" fontId="3" fillId="6" borderId="31" xfId="2" applyNumberFormat="1" applyFont="1" applyFill="1" applyBorder="1" applyAlignment="1">
      <alignment horizontal="center" vertical="center" wrapText="1"/>
    </xf>
    <xf numFmtId="164" fontId="3" fillId="6" borderId="13" xfId="2" applyNumberFormat="1" applyFont="1" applyFill="1" applyBorder="1" applyAlignment="1">
      <alignment horizontal="center" vertical="center" wrapText="1"/>
    </xf>
    <xf numFmtId="0" fontId="8" fillId="6" borderId="48" xfId="0" applyFont="1" applyFill="1" applyBorder="1" applyAlignment="1">
      <alignment horizontal="left"/>
    </xf>
    <xf numFmtId="0" fontId="8" fillId="7" borderId="48" xfId="0" applyFont="1" applyFill="1" applyBorder="1" applyAlignment="1">
      <alignment horizontal="left"/>
    </xf>
    <xf numFmtId="0" fontId="2" fillId="0" borderId="40" xfId="0" applyFont="1" applyBorder="1"/>
    <xf numFmtId="0" fontId="8" fillId="7" borderId="49" xfId="0" applyFont="1" applyFill="1" applyBorder="1" applyAlignment="1">
      <alignment horizontal="left"/>
    </xf>
    <xf numFmtId="0" fontId="6" fillId="6" borderId="48" xfId="0" applyFont="1" applyFill="1" applyBorder="1"/>
    <xf numFmtId="0" fontId="6" fillId="7" borderId="42" xfId="0" applyFont="1" applyFill="1" applyBorder="1"/>
    <xf numFmtId="0" fontId="6" fillId="6" borderId="42" xfId="0" applyFont="1" applyFill="1" applyBorder="1"/>
    <xf numFmtId="0" fontId="3" fillId="6" borderId="43" xfId="0" applyFont="1" applyFill="1" applyBorder="1"/>
    <xf numFmtId="0" fontId="23" fillId="0" borderId="38" xfId="0" applyFont="1" applyBorder="1" applyAlignment="1">
      <alignment vertical="center"/>
    </xf>
    <xf numFmtId="0" fontId="3" fillId="7" borderId="36" xfId="0" applyFont="1" applyFill="1" applyBorder="1"/>
    <xf numFmtId="0" fontId="3" fillId="6" borderId="36" xfId="0" applyFont="1" applyFill="1" applyBorder="1"/>
    <xf numFmtId="0" fontId="23" fillId="0" borderId="37" xfId="0" applyFont="1" applyBorder="1" applyAlignment="1">
      <alignment vertical="center"/>
    </xf>
    <xf numFmtId="0" fontId="15" fillId="13" borderId="43" xfId="0" applyFont="1" applyFill="1" applyBorder="1" applyAlignment="1">
      <alignment horizontal="center" vertical="center" wrapText="1"/>
    </xf>
    <xf numFmtId="0" fontId="15" fillId="13" borderId="36" xfId="0" applyFont="1" applyFill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6" borderId="36" xfId="0" applyFont="1" applyFill="1" applyBorder="1" applyAlignment="1">
      <alignment horizontal="center" vertical="center" wrapText="1"/>
    </xf>
    <xf numFmtId="0" fontId="15" fillId="7" borderId="36" xfId="0" applyFont="1" applyFill="1" applyBorder="1" applyAlignment="1">
      <alignment horizontal="center" vertical="center" wrapText="1"/>
    </xf>
    <xf numFmtId="0" fontId="15" fillId="7" borderId="37" xfId="0" applyFont="1" applyFill="1" applyBorder="1" applyAlignment="1">
      <alignment horizontal="center" vertical="center" wrapText="1"/>
    </xf>
    <xf numFmtId="10" fontId="3" fillId="6" borderId="31" xfId="1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9" fillId="6" borderId="39" xfId="0" applyFont="1" applyFill="1" applyBorder="1" applyAlignment="1">
      <alignment horizontal="center"/>
    </xf>
    <xf numFmtId="0" fontId="12" fillId="13" borderId="0" xfId="0" applyFont="1" applyFill="1"/>
    <xf numFmtId="10" fontId="2" fillId="4" borderId="17" xfId="0" applyNumberFormat="1" applyFont="1" applyFill="1" applyBorder="1"/>
    <xf numFmtId="10" fontId="2" fillId="4" borderId="13" xfId="0" applyNumberFormat="1" applyFont="1" applyFill="1" applyBorder="1"/>
    <xf numFmtId="0" fontId="25" fillId="0" borderId="0" xfId="0" applyFont="1"/>
    <xf numFmtId="10" fontId="16" fillId="7" borderId="13" xfId="0" applyNumberFormat="1" applyFont="1" applyFill="1" applyBorder="1" applyAlignment="1">
      <alignment horizontal="center" vertical="center" wrapText="1"/>
    </xf>
    <xf numFmtId="10" fontId="16" fillId="7" borderId="31" xfId="0" applyNumberFormat="1" applyFont="1" applyFill="1" applyBorder="1" applyAlignment="1">
      <alignment horizontal="center" vertical="center" wrapText="1"/>
    </xf>
    <xf numFmtId="9" fontId="16" fillId="14" borderId="33" xfId="0" applyNumberFormat="1" applyFont="1" applyFill="1" applyBorder="1" applyAlignment="1">
      <alignment horizontal="center" vertical="center" wrapText="1"/>
    </xf>
    <xf numFmtId="9" fontId="16" fillId="14" borderId="13" xfId="0" applyNumberFormat="1" applyFont="1" applyFill="1" applyBorder="1" applyAlignment="1">
      <alignment horizontal="center" vertical="center" wrapText="1"/>
    </xf>
    <xf numFmtId="9" fontId="16" fillId="14" borderId="15" xfId="0" applyNumberFormat="1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9" fontId="0" fillId="0" borderId="43" xfId="0" applyNumberFormat="1" applyBorder="1" applyAlignment="1">
      <alignment horizontal="center"/>
    </xf>
    <xf numFmtId="9" fontId="0" fillId="0" borderId="36" xfId="0" applyNumberFormat="1" applyBorder="1" applyAlignment="1">
      <alignment horizontal="center"/>
    </xf>
    <xf numFmtId="9" fontId="0" fillId="0" borderId="37" xfId="0" applyNumberFormat="1" applyBorder="1" applyAlignment="1">
      <alignment horizontal="center"/>
    </xf>
    <xf numFmtId="10" fontId="0" fillId="5" borderId="0" xfId="0" applyNumberFormat="1" applyFill="1"/>
    <xf numFmtId="43" fontId="2" fillId="0" borderId="0" xfId="2" applyFont="1" applyBorder="1"/>
    <xf numFmtId="0" fontId="26" fillId="0" borderId="0" xfId="0" applyFont="1"/>
    <xf numFmtId="43" fontId="2" fillId="0" borderId="0" xfId="2" applyFont="1" applyFill="1" applyBorder="1"/>
    <xf numFmtId="43" fontId="1" fillId="0" borderId="0" xfId="2" applyFont="1" applyBorder="1"/>
    <xf numFmtId="0" fontId="0" fillId="0" borderId="33" xfId="0" applyBorder="1"/>
    <xf numFmtId="43" fontId="1" fillId="0" borderId="0" xfId="2" applyFont="1" applyFill="1" applyBorder="1"/>
    <xf numFmtId="0" fontId="0" fillId="0" borderId="32" xfId="0" applyBorder="1"/>
    <xf numFmtId="0" fontId="18" fillId="0" borderId="1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18" xfId="0" applyBorder="1"/>
    <xf numFmtId="0" fontId="27" fillId="7" borderId="13" xfId="0" applyFont="1" applyFill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43" fontId="1" fillId="0" borderId="33" xfId="2" applyFont="1" applyBorder="1" applyAlignment="1">
      <alignment horizontal="left"/>
    </xf>
    <xf numFmtId="0" fontId="1" fillId="14" borderId="12" xfId="2" applyNumberFormat="1" applyFont="1" applyFill="1" applyBorder="1" applyAlignment="1">
      <alignment horizontal="center"/>
    </xf>
    <xf numFmtId="0" fontId="1" fillId="14" borderId="15" xfId="2" applyNumberFormat="1" applyFont="1" applyFill="1" applyBorder="1" applyAlignment="1">
      <alignment horizontal="center"/>
    </xf>
    <xf numFmtId="0" fontId="1" fillId="14" borderId="13" xfId="2" applyNumberFormat="1" applyFont="1" applyFill="1" applyBorder="1" applyAlignment="1">
      <alignment horizontal="center"/>
    </xf>
    <xf numFmtId="0" fontId="1" fillId="14" borderId="14" xfId="2" applyNumberFormat="1" applyFont="1" applyFill="1" applyBorder="1" applyAlignment="1">
      <alignment horizontal="center"/>
    </xf>
    <xf numFmtId="10" fontId="27" fillId="7" borderId="12" xfId="0" applyNumberFormat="1" applyFont="1" applyFill="1" applyBorder="1" applyAlignment="1">
      <alignment horizontal="center" vertical="center" wrapText="1"/>
    </xf>
    <xf numFmtId="10" fontId="27" fillId="7" borderId="15" xfId="0" applyNumberFormat="1" applyFont="1" applyFill="1" applyBorder="1" applyAlignment="1">
      <alignment horizontal="center" vertical="center" wrapText="1"/>
    </xf>
    <xf numFmtId="10" fontId="27" fillId="7" borderId="14" xfId="0" applyNumberFormat="1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10" fontId="11" fillId="5" borderId="1" xfId="1" applyNumberFormat="1" applyFont="1" applyFill="1" applyBorder="1" applyAlignment="1">
      <alignment horizontal="center" wrapText="1"/>
    </xf>
    <xf numFmtId="10" fontId="11" fillId="7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7" fillId="7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36" xfId="0" applyFont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/>
    </xf>
    <xf numFmtId="0" fontId="3" fillId="13" borderId="43" xfId="0" applyFont="1" applyFill="1" applyBorder="1" applyAlignment="1">
      <alignment horizontal="center" vertical="center"/>
    </xf>
    <xf numFmtId="0" fontId="3" fillId="13" borderId="36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723900</xdr:colOff>
      <xdr:row>60</xdr:row>
      <xdr:rowOff>45720</xdr:rowOff>
    </xdr:from>
    <xdr:ext cx="7566660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E5941C-CF96-0D3D-1351-B1CE2190AD7E}"/>
            </a:ext>
          </a:extLst>
        </xdr:cNvPr>
        <xdr:cNvSpPr txBox="1"/>
      </xdr:nvSpPr>
      <xdr:spPr>
        <a:xfrm>
          <a:off x="5250180" y="12352020"/>
          <a:ext cx="7566660" cy="95346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100"/>
            <a:t>Risk categories were assigned based on the standard deviation of monthly returns, where higher deviation indicates greater volatility and therefore higher risk.</a:t>
          </a:r>
        </a:p>
        <a:p>
          <a:r>
            <a:rPr lang="en-AU" sz="1100"/>
            <a:t>The classification deliberately allocates a wider range to R1 (1%–4.99%) and </a:t>
          </a:r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R2 (5%–8.99%) </a:t>
          </a:r>
          <a:r>
            <a:rPr lang="en-AU" sz="1100"/>
            <a:t>to capture stable, low-risk investments, while and R3 (9%–10.99%) are narrower to reflect the sharper sensitivity and tighter clustering typical of medium and high-risk assets.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508928</xdr:colOff>
      <xdr:row>3</xdr:row>
      <xdr:rowOff>122065</xdr:rowOff>
    </xdr:from>
    <xdr:to>
      <xdr:col>22</xdr:col>
      <xdr:colOff>361950</xdr:colOff>
      <xdr:row>24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BBC1F6-6335-4669-A92B-B46CDD7E8C2F}"/>
            </a:ext>
          </a:extLst>
        </xdr:cNvPr>
        <xdr:cNvSpPr txBox="1"/>
      </xdr:nvSpPr>
      <xdr:spPr>
        <a:xfrm>
          <a:off x="10757828" y="716425"/>
          <a:ext cx="4539322" cy="472425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 b="1"/>
        </a:p>
        <a:p>
          <a:r>
            <a:rPr lang="en-AU" sz="1100" b="1"/>
            <a:t>LP Portfolio</a:t>
          </a:r>
          <a:r>
            <a:rPr lang="en-AU" sz="1100" b="1" baseline="0"/>
            <a:t> Mix  </a:t>
          </a:r>
          <a:r>
            <a:rPr lang="en-AU" sz="1100" b="1" baseline="0">
              <a:solidFill>
                <a:srgbClr val="0033CC"/>
              </a:solidFill>
            </a:rPr>
            <a:t> </a:t>
          </a:r>
          <a:endParaRPr lang="en-AU" sz="1100" b="1"/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objective is to </a:t>
          </a:r>
          <a:r>
            <a:rPr lang="en-AU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achieve the maximum overall return.</a:t>
          </a:r>
          <a:endParaRPr lang="en-AU" sz="1100">
            <a:effectLst/>
          </a:endParaRPr>
        </a:p>
        <a:p>
          <a:endParaRPr lang="en-AU" sz="1100"/>
        </a:p>
        <a:p>
          <a:r>
            <a:rPr lang="en-AU" sz="1100"/>
            <a:t>Subject</a:t>
          </a:r>
          <a:r>
            <a:rPr lang="en-AU" sz="1100" baseline="0"/>
            <a:t> to:</a:t>
          </a:r>
        </a:p>
        <a:p>
          <a:endParaRPr lang="en-AU" sz="1100"/>
        </a:p>
        <a:p>
          <a:pPr lvl="0" rt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Investment in the high-risk assets shouldn’t exceed 15% of the portfolio.</a:t>
          </a:r>
        </a:p>
        <a:p>
          <a:pPr lvl="0" rtl="0"/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The investment in low-risk assets (R1) must be greater than or equal to the total investment in medium-risk (R2) and high-risk (R3) categories.</a:t>
          </a:r>
        </a:p>
        <a:p>
          <a:pPr lvl="0"/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Each sector (S1 to S4) must receive at least 15% of the investment, except for Sector S4 (user selection - Financial) which must receive at least 20% investment to reflect its relative stability.</a:t>
          </a:r>
        </a:p>
        <a:p>
          <a:pPr lvl="0"/>
          <a:endParaRPr lang="en-AU"/>
        </a:p>
        <a:p>
          <a:pPr lvl="0"/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The minimum investment in each individual asset must be at least 5% of the total portfolio.</a:t>
          </a:r>
        </a:p>
        <a:p>
          <a:pPr lvl="0"/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have a balanced risk portfolio, investment in medium-risk assets (R2) must be at least 25% of the portfolio.</a:t>
          </a:r>
        </a:p>
        <a:p>
          <a:pPr lvl="0"/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 The total investment must equal 100% of the portfolio (i.e., all proportions must sum to 1 or 100%).</a:t>
          </a:r>
        </a:p>
        <a:p>
          <a:pPr lvl="0"/>
          <a:endParaRPr lang="en-A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All decision variables (investments in each asset) must be greater than or equal to 0.</a:t>
          </a:r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1</xdr:colOff>
      <xdr:row>38</xdr:row>
      <xdr:rowOff>0</xdr:rowOff>
    </xdr:from>
    <xdr:to>
      <xdr:col>7</xdr:col>
      <xdr:colOff>66676</xdr:colOff>
      <xdr:row>65</xdr:row>
      <xdr:rowOff>20221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DFD23B-18C4-0E05-7327-14192B34C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1" y="9134475"/>
          <a:ext cx="5257800" cy="4957981"/>
        </a:xfrm>
        <a:prstGeom prst="rect">
          <a:avLst/>
        </a:prstGeom>
      </xdr:spPr>
    </xdr:pic>
    <xdr:clientData/>
  </xdr:twoCellAnchor>
  <xdr:twoCellAnchor>
    <xdr:from>
      <xdr:col>14</xdr:col>
      <xdr:colOff>510833</xdr:colOff>
      <xdr:row>24</xdr:row>
      <xdr:rowOff>400049</xdr:rowOff>
    </xdr:from>
    <xdr:to>
      <xdr:col>22</xdr:col>
      <xdr:colOff>363855</xdr:colOff>
      <xdr:row>70</xdr:row>
      <xdr:rowOff>91441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9A2797-86BA-411E-8F84-38C5B3FE087A}"/>
            </a:ext>
          </a:extLst>
        </xdr:cNvPr>
        <xdr:cNvSpPr txBox="1"/>
      </xdr:nvSpPr>
      <xdr:spPr>
        <a:xfrm>
          <a:off x="10759733" y="5680709"/>
          <a:ext cx="4539322" cy="10527032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Optimization</a:t>
          </a:r>
          <a:r>
            <a:rPr lang="en-AU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Approach Taken </a:t>
          </a:r>
        </a:p>
        <a:p>
          <a:endParaRPr lang="en-AU" sz="110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LP model, the objective is to maximize the overall expected return of an investment portfolio by selecting optimal allocations across eight ASX-listed assets from four industry sectors: Healthcare, Technology, Communication Services, and Financial Services.</a:t>
          </a:r>
          <a:b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asset is classified into one of three risk categories (R1 = low risk, R2 = medium risk, R3 = high risk), based on their standard deviation of returns over four years.</a:t>
          </a:r>
          <a:b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optimization is done under realistic portfolio management constraints, including diversification, minimum investments, risk limitations, and sector representation. The model uses proportion of portfolio (ranging from 0 to 1) as decision variables for asset allocations.</a:t>
          </a:r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Mathematical Formulation</a:t>
          </a:r>
        </a:p>
        <a:p>
          <a:endParaRPr lang="en-AU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Variables</a:t>
          </a:r>
        </a:p>
        <a:p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= Proportion of investment in S11 (Sector 1, High Risk – R3)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</a:t>
          </a:r>
          <a:r>
            <a:rPr lang="en-A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Proportion of investment in S12 (Sector 1, Low Risk – R1)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 = Proportion of investment in S21 (Sector 2, High Risk – R3)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x4 = Proportion of investment in S22 (Sector 2, Medium Risk – R2)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x5 = Proportion of investment in S31 (Sector 3, Low Risk – R1)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x6 = Proportion of investment in S32 (Sector 3, Medium Risk – R2)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x7 = Proportion of investment in S41 (Sector 4, Medium Risk – R2)</a:t>
          </a:r>
        </a:p>
        <a:p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x8 = Proportion of investment in S42 (Sector 4, High Risk – R3)</a:t>
          </a:r>
        </a:p>
        <a:p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 Function :</a:t>
          </a:r>
          <a:r>
            <a:rPr lang="en-AU" sz="1100" b="1" i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Maximize Expected Return</a:t>
          </a: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 = 0.0455x1 + 0.0019x2 + 0.0116x3 + 0.0085x4 + 0.0055x5 − 0.0082x6 + 0.0156x7 − 0.0062x8</a:t>
          </a:r>
        </a:p>
        <a:p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Constraints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Total investment in high-risk assets must not exceed 15%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+ x3 + x8 ≤ 0.15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Investment in low-risk (R1) ≥ investment in medium-risk (R2) and high-risk (R3)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 + x5 ≥ x4 + x6 + x7 + x1 + x3 + x8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Each sector receives at least 15%, except Sector 4 (Financials), which needs at least 20%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+ x2 ≥ 0.15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 + x4 ≥ 0.15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​x5 + x6 ≥ 0.15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x7 + x8 ≥ 0.20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Minimum investment per asset must be 5%: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x𝑖 ≥ 0.05 for all 𝑖 =1,2,3,4,5,6,7,8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User imposed constraint : Medium-risk (R2) investments ≥ 25% of the portfolio: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x4 + x6 + x7  ≥  0.25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Total portfolio must equal 100%: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+ x2 + x3 + x4 + x5 + x6 + x7 + x8 = 1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Non-negativity: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x𝑖 ≥ 0 for all  𝑖=1 to 8</a:t>
          </a:r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</xdr:row>
      <xdr:rowOff>0</xdr:rowOff>
    </xdr:from>
    <xdr:to>
      <xdr:col>2</xdr:col>
      <xdr:colOff>4256413</xdr:colOff>
      <xdr:row>53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3C80D-9923-0A4F-A32E-2F0204927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" y="6995160"/>
          <a:ext cx="4256413" cy="2865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1</xdr:row>
      <xdr:rowOff>22860</xdr:rowOff>
    </xdr:from>
    <xdr:to>
      <xdr:col>23</xdr:col>
      <xdr:colOff>396240</xdr:colOff>
      <xdr:row>19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309AE6-ABA8-4370-83D1-FA373B982F25}"/>
            </a:ext>
          </a:extLst>
        </xdr:cNvPr>
        <xdr:cNvSpPr txBox="1"/>
      </xdr:nvSpPr>
      <xdr:spPr>
        <a:xfrm>
          <a:off x="10454640" y="205740"/>
          <a:ext cx="5425440" cy="3429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/>
            <a:t>LP Portfolio</a:t>
          </a:r>
          <a:r>
            <a:rPr lang="en-AU" sz="1100" b="1" baseline="0"/>
            <a:t> </a:t>
          </a:r>
        </a:p>
        <a:p>
          <a:endParaRPr lang="en-AU" sz="1100"/>
        </a:p>
        <a:p>
          <a:r>
            <a:rPr lang="en-AU" sz="1100"/>
            <a:t>Objective</a:t>
          </a:r>
          <a:r>
            <a:rPr lang="en-AU" sz="1100" baseline="0"/>
            <a:t> is to m</a:t>
          </a:r>
          <a:r>
            <a:rPr lang="en-AU" sz="1100"/>
            <a:t>aximise the overall expected rate of return of the investment portfolio by selecting 5 assets across different sectors and risk levels.</a:t>
          </a:r>
        </a:p>
        <a:p>
          <a:endParaRPr lang="en-AU" sz="1100"/>
        </a:p>
        <a:p>
          <a:r>
            <a:rPr lang="en-AU" sz="1100"/>
            <a:t>Subject to:</a:t>
          </a:r>
        </a:p>
        <a:p>
          <a:endParaRPr lang="en-AU" sz="1100"/>
        </a:p>
        <a:p>
          <a:r>
            <a:rPr lang="en-AU" sz="1100"/>
            <a:t>1. Exactly 5 assets must be selected (portfolio size = 5).</a:t>
          </a:r>
        </a:p>
        <a:p>
          <a:endParaRPr lang="en-AU" sz="1100"/>
        </a:p>
        <a:p>
          <a:r>
            <a:rPr lang="en-AU" sz="1100"/>
            <a:t>2. All 4 investment sectors must be represented in the selected portfolio.</a:t>
          </a:r>
        </a:p>
        <a:p>
          <a:endParaRPr lang="en-AU" sz="1100"/>
        </a:p>
        <a:p>
          <a:r>
            <a:rPr lang="en-AU" sz="1100"/>
            <a:t>3. At most 1 asset can be selected from the high-risk category (R3).</a:t>
          </a:r>
        </a:p>
        <a:p>
          <a:endParaRPr lang="en-AU" sz="1100"/>
        </a:p>
        <a:p>
          <a:r>
            <a:rPr lang="en-AU" sz="1100"/>
            <a:t>4. At least 2 assets must be selected from the low-risk category (R1).</a:t>
          </a:r>
        </a:p>
        <a:p>
          <a:endParaRPr lang="en-AU" sz="1100"/>
        </a:p>
        <a:p>
          <a:r>
            <a:rPr lang="en-AU" sz="1100"/>
            <a:t>5. An asset from R3 can be included only if at least one asset from R2 is included.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6. Require at least one asset from Medium Risk (R2)</a:t>
          </a:r>
        </a:p>
      </xdr:txBody>
    </xdr:sp>
    <xdr:clientData/>
  </xdr:twoCellAnchor>
  <xdr:twoCellAnchor>
    <xdr:from>
      <xdr:col>14</xdr:col>
      <xdr:colOff>439422</xdr:colOff>
      <xdr:row>20</xdr:row>
      <xdr:rowOff>216746</xdr:rowOff>
    </xdr:from>
    <xdr:to>
      <xdr:col>23</xdr:col>
      <xdr:colOff>388622</xdr:colOff>
      <xdr:row>62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B5F459-D47A-44C9-831D-059E9BA3A844}"/>
            </a:ext>
          </a:extLst>
        </xdr:cNvPr>
        <xdr:cNvSpPr txBox="1"/>
      </xdr:nvSpPr>
      <xdr:spPr>
        <a:xfrm>
          <a:off x="10436862" y="4026746"/>
          <a:ext cx="5435600" cy="8287174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Optimization</a:t>
          </a:r>
          <a:r>
            <a:rPr lang="en-AU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Approach Taken </a:t>
          </a:r>
        </a:p>
        <a:p>
          <a:endParaRPr lang="en-AU" sz="110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ILP model, the objective is to maximise the overall expected return from a portfolio of eight ASX-listed assets across four sectors (Healthcare, Technology, Communication Services, and Financial Services), with binary (0 or 1) decision variables representing the inclusion or exclusion of each asset.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focus here is not just on return but also on portfolio composition rules, such as limiting the total number of assets, ensuring sectoral representation, and risk management.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approach uses binary decision variables to enforce strict inclusion/exclusion conditions, ensuring exactly 5 assets are selected that conform to investment diversity and risk appetite.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Mathematical Formulation</a:t>
          </a:r>
        </a:p>
        <a:p>
          <a:endParaRPr lang="en-AU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Variables</a:t>
          </a: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Let:</a:t>
          </a: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x𝑖 = 1 if asset 𝑖 is included in the portfolio</a:t>
          </a: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x𝑖 = 0 otherwise</a:t>
          </a: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𝑖 = 1,2,3,4,5,6,7,8</a:t>
          </a:r>
        </a:p>
        <a:p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 Function :</a:t>
          </a:r>
          <a:r>
            <a:rPr lang="en-AU" sz="1100" b="1" i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Maximize Expected Return</a:t>
          </a: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 = 0.0455x1 + 0.0019x2 + 0.0116x3 + 0.0085x4 + 0.0055x5 − 0.0082x6+0.0156x7 − 0.0062x8</a:t>
          </a:r>
        </a:p>
        <a:p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Constraints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Exactly 5 assets must be selected: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+ x2 + x3 + x4 + x5 + x6 + x7 + x8 = 5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All 4 sectors (S1–S4) must be represented: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 1 : x1 + x2 ≥ 1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 2 : x3 + x4 ≥ 1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 3 : x5 + x6 ≥ 1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 4 : x7 + x8 ≥ 1 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At most one high-risk (R3) asset can be selected: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+ x3 + x8 ≤ 1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At least two low-risk (R1) assets must be selected: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 + x5 ≥ 2</a:t>
          </a:r>
        </a:p>
        <a:p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r>
            <a:rPr lang="en-AU" sz="11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Logical constraint: R3 asset can only be selected if an R2 asset is selected:</a:t>
          </a:r>
          <a:endParaRPr lang="en-AU">
            <a:effectLst/>
          </a:endParaRPr>
        </a:p>
        <a:p>
          <a:r>
            <a:rPr lang="en-AU" sz="110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x1, x3, x8  ≤ x4 + x6 + x7 </a:t>
          </a:r>
          <a:endParaRPr lang="en-AU">
            <a:effectLst/>
          </a:endParaRP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User imposed constraint:</a:t>
          </a:r>
          <a:r>
            <a:rPr lang="en-A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Require at least one asset from Medium Risk (R2)</a:t>
          </a:r>
        </a:p>
        <a:p>
          <a:r>
            <a:rPr lang="en-AU">
              <a:effectLst/>
            </a:rPr>
            <a:t>x4 + x6 + x7 ≥ 1</a:t>
          </a:r>
        </a:p>
        <a:p>
          <a:endParaRPr lang="en-AU" sz="110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​</a:t>
          </a:r>
        </a:p>
        <a:p>
          <a:endParaRPr lang="en-A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9">
  <a r="1" c="49">
    <v t="i">0</v>
    <v t="i">31</v>
    <v t="i">59</v>
    <v t="i">90</v>
    <v t="i">120</v>
    <v t="i">151</v>
    <v t="i">181</v>
    <v t="i">212</v>
    <v t="i">243</v>
    <v t="i">273</v>
    <v t="i">304</v>
    <v t="i">334</v>
    <v t="i">365</v>
    <v t="i">396</v>
    <v t="i">424</v>
    <v t="i">455</v>
    <v t="i">485</v>
    <v t="i">516</v>
    <v t="i">546</v>
    <v t="i">577</v>
    <v t="i">608</v>
    <v t="i">638</v>
    <v t="i">669</v>
    <v t="i">699</v>
    <v t="i">730</v>
    <v t="i">761</v>
    <v t="i">789</v>
    <v t="i">820</v>
    <v t="i">850</v>
    <v t="i">881</v>
    <v t="i">911</v>
    <v t="i">942</v>
    <v t="i">973</v>
    <v t="i">1003</v>
    <v t="i">1034</v>
    <v t="i">1064</v>
    <v t="i">1095</v>
    <v t="i">1126</v>
    <v t="i">1155</v>
    <v t="i">1186</v>
    <v t="i">1216</v>
    <v t="i">1247</v>
    <v t="i">1277</v>
    <v t="i">1308</v>
    <v t="i">1339</v>
    <v t="i">1369</v>
    <v t="i">1400</v>
    <v t="i">1430</v>
    <v t="i">1461</v>
  </a>
  <a r="1" c="49">
    <v>2.74</v>
    <v>2.81</v>
    <v>2.63</v>
    <v>2.82</v>
    <v>2.82</v>
    <v>2.85</v>
    <v>2.59</v>
    <v>3.03</v>
    <v>2.77</v>
    <v>2.63</v>
    <v>2.7</v>
    <v>2.7</v>
    <v>2.2000000000000002</v>
    <v>2.21</v>
    <v>2.15</v>
    <v>2.04</v>
    <v>1.89</v>
    <v>1.51</v>
    <v>1.89</v>
    <v>1.92</v>
    <v>1.605</v>
    <v>1.68</v>
    <v>1.665</v>
    <v>1.4550000000000001</v>
    <v>1.69</v>
    <v>1.575</v>
    <v>1.49</v>
    <v>1.61</v>
    <v>1.7</v>
    <v>1.79</v>
    <v>1.83</v>
    <v>1.58</v>
    <v>1.46</v>
    <v>1.29</v>
    <v>1.51</v>
    <v>1.56</v>
    <v>1.615</v>
    <v>1.49</v>
    <v>1.63</v>
    <v>1.5</v>
    <v>1.45</v>
    <v>1.38</v>
    <v>1.4650000000000001</v>
    <v>1.6</v>
    <v>1.595</v>
    <v>1.6</v>
    <v>1.5349999999999999</v>
    <v>1.51</v>
    <v>1.65</v>
  </a>
  <a r="1" c="49">
    <v>11.6</v>
    <v>11.2</v>
    <v>10.42</v>
    <v>11.59</v>
    <v>10.88</v>
    <v>11.86</v>
    <v>12.75</v>
    <v>13.24</v>
    <v>12.03</v>
    <v>11.74</v>
    <v>12.1</v>
    <v>12.79</v>
    <v>10.67</v>
    <v>10.63</v>
    <v>11.66</v>
    <v>11.28</v>
    <v>11.01</v>
    <v>10.64</v>
    <v>11.78</v>
    <v>10.49</v>
    <v>8.82</v>
    <v>8.32</v>
    <v>9.8699999999999992</v>
    <v>9.1</v>
    <v>9.89</v>
    <v>10.27</v>
    <v>10.46</v>
    <v>11.48</v>
    <v>12.71</v>
    <v>12.58</v>
    <v>12.75</v>
    <v>13.54</v>
    <v>12.39</v>
    <v>11.75</v>
    <v>13.03</v>
    <v>13.73</v>
    <v>14.02</v>
    <v>17.649999999999999</v>
    <v>17.79</v>
    <v>16.690000000000001</v>
    <v>17.79</v>
    <v>17.63</v>
    <v>16.75</v>
    <v>16.95</v>
    <v>17.5</v>
    <v>16.420000000000002</v>
    <v>16.27</v>
    <v>15.07</v>
    <v>14.85</v>
  </a>
  <a r="1" c="49">
    <v>42.84</v>
    <v>44.35</v>
    <v>41.33</v>
    <v>47.21</v>
    <v>46.11</v>
    <v>58.72</v>
    <v>57.98</v>
    <v>63.07</v>
    <v>54.61</v>
    <v>53.28</v>
    <v>62.48</v>
    <v>62.44</v>
    <v>45.1</v>
    <v>46.73</v>
    <v>48.99</v>
    <v>47.48</v>
    <v>42.13</v>
    <v>42.25</v>
    <v>49.54</v>
    <v>54.48</v>
    <v>50.19</v>
    <v>55.82</v>
    <v>59.44</v>
    <v>55.26</v>
    <v>66.849999999999994</v>
    <v>61.01</v>
    <v>63.87</v>
    <v>61.44</v>
    <v>59.35</v>
    <v>65.64</v>
    <v>68.790000000000006</v>
    <v>73.319999999999993</v>
    <v>83.39</v>
    <v>74.540000000000006</v>
    <v>88.41</v>
    <v>95.83</v>
    <v>101.56</v>
    <v>103.82</v>
    <v>103.75</v>
    <v>111.41</v>
    <v>120.12</v>
    <v>143.26</v>
    <v>143.76</v>
    <v>150.69999999999999</v>
    <v>178.25</v>
    <v>194.83</v>
    <v>251.89</v>
    <v>250.12</v>
    <v>278.39999999999998</v>
  </a>
  <a r="1" c="49">
    <v>7.4</v>
    <v>6.8</v>
    <v>6.33</v>
    <v>5.51</v>
    <v>5.21</v>
    <v>6.26</v>
    <v>6.18</v>
    <v>6.16</v>
    <v>7.06</v>
    <v>6.75</v>
    <v>6.75</v>
    <v>5.89</v>
    <v>5.9</v>
    <v>5.59</v>
    <v>6.05</v>
    <v>5.88</v>
    <v>5.75</v>
    <v>5.97</v>
    <v>6.34</v>
    <v>5.35</v>
    <v>4.8499999999999996</v>
    <v>4.9000000000000004</v>
    <v>4.8899999999999997</v>
    <v>4.8899999999999997</v>
    <v>4.82</v>
    <v>5.07</v>
    <v>4.88</v>
    <v>5.37</v>
    <v>5.47</v>
    <v>4.87</v>
    <v>5.0199999999999996</v>
    <v>5.63</v>
    <v>5.46</v>
    <v>5.18</v>
    <v>4.72</v>
    <v>5.18</v>
    <v>5.29</v>
    <v>4.6900000000000004</v>
    <v>4.51</v>
    <v>4.51</v>
    <v>4.6500000000000004</v>
    <v>4.58</v>
    <v>4.75</v>
    <v>4.96</v>
    <v>4.92</v>
    <v>4.5199999999999996</v>
    <v>4.5</v>
    <v>4.49</v>
    <v>4.4000000000000004</v>
  </a>
  <a r="1" c="49">
    <v>271.72000000000003</v>
    <v>262.58999999999997</v>
    <v>264.64999999999998</v>
    <v>271.16000000000003</v>
    <v>290.20999999999998</v>
    <v>285.19</v>
    <v>288.91000000000003</v>
    <v>311.94</v>
    <v>293.39999999999998</v>
    <v>300.49</v>
    <v>306.79000000000002</v>
    <v>290.72000000000003</v>
    <v>260.35000000000002</v>
    <v>259.98</v>
    <v>268.14999999999998</v>
    <v>273.3</v>
    <v>271.83</v>
    <v>269.06</v>
    <v>289.83999999999997</v>
    <v>293.54000000000002</v>
    <v>285.02</v>
    <v>280.48</v>
    <v>300.11</v>
    <v>287.76</v>
    <v>298.08</v>
    <v>296.3</v>
    <v>288.3</v>
    <v>300.58</v>
    <v>306.39</v>
    <v>277.38</v>
    <v>268.52</v>
    <v>273.52999999999997</v>
    <v>250.8</v>
    <v>232.35</v>
    <v>262.23</v>
    <v>286.64999999999998</v>
    <v>301.7</v>
    <v>286.24</v>
    <v>287.92</v>
    <v>276.76</v>
    <v>280.10000000000002</v>
    <v>295.20999999999998</v>
    <v>309.72000000000003</v>
    <v>307.16000000000003</v>
    <v>286.27999999999997</v>
    <v>286.95</v>
    <v>282.22000000000003</v>
    <v>281.58</v>
    <v>280.43</v>
  </a>
  <a r="1" c="49">
    <v>129.88999999999999</v>
    <v>118.43</v>
    <v>126.53</v>
    <v>141.56</v>
    <v>132.65</v>
    <v>137.1</v>
    <v>140.28</v>
    <v>151.82</v>
    <v>139</v>
    <v>149.51</v>
    <v>144.84</v>
    <v>141.44</v>
    <v>112.91</v>
    <v>93.73</v>
    <v>102.75</v>
    <v>96.35</v>
    <v>89.29</v>
    <v>76.959999999999994</v>
    <v>92.99</v>
    <v>87.75</v>
    <v>73.510000000000005</v>
    <v>78.069999999999993</v>
    <v>70.64</v>
    <v>70.27</v>
    <v>76.8</v>
    <v>77.7</v>
    <v>89.42</v>
    <v>93.34</v>
    <v>109.95</v>
    <v>118.93</v>
    <v>122.21</v>
    <v>125.1</v>
    <v>112.43</v>
    <v>106.69</v>
    <v>103.05</v>
    <v>112.3</v>
    <v>110.79</v>
    <v>127.31</v>
    <v>133.32</v>
    <v>122.08</v>
    <v>135</v>
    <v>136.4</v>
    <v>138.18</v>
    <v>142.84</v>
    <v>149.44</v>
    <v>149.5</v>
    <v>173.85</v>
    <v>168.56</v>
    <v>183.27</v>
  </a>
  <a r="1" c="49">
    <v>3.12</v>
    <v>3.08</v>
    <v>3.4</v>
    <v>3.39</v>
    <v>3.52</v>
    <v>3.76</v>
    <v>3.78</v>
    <v>3.84</v>
    <v>3.93</v>
    <v>3.82</v>
    <v>4.07</v>
    <v>4.18</v>
    <v>3.92</v>
    <v>3.96</v>
    <v>3.96</v>
    <v>4.04</v>
    <v>3.88</v>
    <v>3.85</v>
    <v>3.89</v>
    <v>3.97</v>
    <v>3.85</v>
    <v>3.92</v>
    <v>3.98</v>
    <v>3.99</v>
    <v>4.08</v>
    <v>4.16</v>
    <v>4.22</v>
    <v>4.37</v>
    <v>4.3600000000000003</v>
    <v>4.3</v>
    <v>4.26</v>
    <v>4.01</v>
    <v>3.85</v>
    <v>3.81</v>
    <v>3.82</v>
    <v>3.96</v>
    <v>4.04</v>
    <v>3.82</v>
    <v>3.86</v>
    <v>3.67</v>
    <v>3.47</v>
    <v>3.62</v>
    <v>3.94</v>
    <v>3.93</v>
    <v>3.88</v>
    <v>3.82</v>
    <v>3.94</v>
    <v>4.01</v>
    <v>3.95</v>
  </a>
  <a r="1" c="49">
    <v>83.51</v>
    <v>81.56</v>
    <v>86.1</v>
    <v>89.04</v>
    <v>99.72</v>
    <v>99.87</v>
    <v>99.65</v>
    <v>100.12</v>
    <v>104.33</v>
    <v>104.68</v>
    <v>93.18</v>
    <v>101</v>
    <v>93.74</v>
    <v>93.46</v>
    <v>105.77</v>
    <v>103.88</v>
    <v>104.36</v>
    <v>90.38</v>
    <v>100.77</v>
    <v>97.47</v>
    <v>90.7</v>
    <v>104.68</v>
    <v>107.86</v>
    <v>102.6</v>
    <v>110.06</v>
    <v>100.69</v>
    <v>98.32</v>
    <v>99.36</v>
    <v>96.78</v>
    <v>100.27</v>
    <v>105.71</v>
    <v>102.18</v>
    <v>99.97</v>
    <v>96.56</v>
    <v>104.66</v>
    <v>111.8</v>
    <v>117.53</v>
    <v>116.41</v>
    <v>120.34</v>
    <v>114.54</v>
    <v>119.54</v>
    <v>127.38</v>
    <v>137.49</v>
    <v>139.5</v>
    <v>135.38999999999999</v>
    <v>142.75</v>
    <v>158.58000000000001</v>
    <v>153.25</v>
    <v>160.56</v>
  </a>
</arrayData>
</file>

<file path=xl/richData/rdrichvalue.xml><?xml version="1.0" encoding="utf-8"?>
<rvData xmlns="http://schemas.microsoft.com/office/spreadsheetml/2017/richdata" count="421">
  <rv s="0">
    <fb>44197</fb>
    <v>0</v>
  </rv>
  <rv s="0">
    <fb>42.84</fb>
    <v>1</v>
  </rv>
  <rv s="0">
    <fb>271.72000000000003</fb>
    <v>1</v>
  </rv>
  <rv s="0">
    <fb>129.88999999999999</fb>
    <v>1</v>
  </rv>
  <rv s="0">
    <fb>11.6</fb>
    <v>1</v>
  </rv>
  <rv s="0">
    <fb>3.12</fb>
    <v>1</v>
  </rv>
  <rv s="0">
    <fb>7.4</fb>
    <v>1</v>
  </rv>
  <rv s="0">
    <fb>83.51</fb>
    <v>1</v>
  </rv>
  <rv s="0">
    <fb>2.74</fb>
    <v>1</v>
  </rv>
  <rv s="0">
    <fb>44228</fb>
    <v>0</v>
  </rv>
  <rv s="0">
    <fb>44.35</fb>
    <v>1</v>
  </rv>
  <rv s="0">
    <fb>262.58999999999997</fb>
    <v>1</v>
  </rv>
  <rv s="0">
    <fb>118.43</fb>
    <v>1</v>
  </rv>
  <rv s="0">
    <fb>11.2</fb>
    <v>1</v>
  </rv>
  <rv s="0">
    <fb>3.08</fb>
    <v>1</v>
  </rv>
  <rv s="0">
    <fb>6.8</fb>
    <v>1</v>
  </rv>
  <rv s="0">
    <fb>81.56</fb>
    <v>1</v>
  </rv>
  <rv s="0">
    <fb>2.81</fb>
    <v>1</v>
  </rv>
  <rv s="0">
    <fb>44256</fb>
    <v>0</v>
  </rv>
  <rv s="0">
    <fb>41.33</fb>
    <v>1</v>
  </rv>
  <rv s="0">
    <fb>264.64999999999998</fb>
    <v>1</v>
  </rv>
  <rv s="0">
    <fb>126.53</fb>
    <v>1</v>
  </rv>
  <rv s="0">
    <fb>10.42</fb>
    <v>1</v>
  </rv>
  <rv s="0">
    <fb>3.4</fb>
    <v>1</v>
  </rv>
  <rv s="0">
    <fb>6.33</fb>
    <v>1</v>
  </rv>
  <rv s="0">
    <fb>86.1</fb>
    <v>1</v>
  </rv>
  <rv s="0">
    <fb>2.63</fb>
    <v>1</v>
  </rv>
  <rv s="0">
    <fb>44287</fb>
    <v>0</v>
  </rv>
  <rv s="0">
    <fb>47.21</fb>
    <v>1</v>
  </rv>
  <rv s="0">
    <fb>271.16000000000003</fb>
    <v>1</v>
  </rv>
  <rv s="0">
    <fb>141.56</fb>
    <v>1</v>
  </rv>
  <rv s="0">
    <fb>11.59</fb>
    <v>1</v>
  </rv>
  <rv s="0">
    <fb>3.39</fb>
    <v>1</v>
  </rv>
  <rv s="0">
    <fb>5.51</fb>
    <v>1</v>
  </rv>
  <rv s="0">
    <fb>89.04</fb>
    <v>1</v>
  </rv>
  <rv s="0">
    <fb>2.82</fb>
    <v>1</v>
  </rv>
  <rv s="0">
    <fb>44317</fb>
    <v>0</v>
  </rv>
  <rv s="0">
    <fb>46.11</fb>
    <v>1</v>
  </rv>
  <rv s="0">
    <fb>290.20999999999998</fb>
    <v>1</v>
  </rv>
  <rv s="0">
    <fb>132.65</fb>
    <v>1</v>
  </rv>
  <rv s="0">
    <fb>10.88</fb>
    <v>1</v>
  </rv>
  <rv s="0">
    <fb>3.52</fb>
    <v>1</v>
  </rv>
  <rv s="0">
    <fb>5.21</fb>
    <v>1</v>
  </rv>
  <rv s="0">
    <fb>99.72</fb>
    <v>1</v>
  </rv>
  <rv s="0">
    <fb>44348</fb>
    <v>0</v>
  </rv>
  <rv s="0">
    <fb>58.72</fb>
    <v>1</v>
  </rv>
  <rv s="0">
    <fb>285.19</fb>
    <v>1</v>
  </rv>
  <rv s="0">
    <fb>137.1</fb>
    <v>1</v>
  </rv>
  <rv s="0">
    <fb>11.86</fb>
    <v>1</v>
  </rv>
  <rv s="0">
    <fb>3.76</fb>
    <v>1</v>
  </rv>
  <rv s="0">
    <fb>6.26</fb>
    <v>1</v>
  </rv>
  <rv s="0">
    <fb>99.87</fb>
    <v>1</v>
  </rv>
  <rv s="0">
    <fb>2.85</fb>
    <v>1</v>
  </rv>
  <rv s="0">
    <fb>44378</fb>
    <v>0</v>
  </rv>
  <rv s="0">
    <fb>57.98</fb>
    <v>1</v>
  </rv>
  <rv s="0">
    <fb>288.91000000000003</fb>
    <v>1</v>
  </rv>
  <rv s="0">
    <fb>140.28</fb>
    <v>1</v>
  </rv>
  <rv s="0">
    <fb>12.75</fb>
    <v>1</v>
  </rv>
  <rv s="0">
    <fb>3.78</fb>
    <v>1</v>
  </rv>
  <rv s="0">
    <fb>6.18</fb>
    <v>1</v>
  </rv>
  <rv s="0">
    <fb>99.65</fb>
    <v>1</v>
  </rv>
  <rv s="0">
    <fb>2.59</fb>
    <v>1</v>
  </rv>
  <rv s="0">
    <fb>44409</fb>
    <v>0</v>
  </rv>
  <rv s="0">
    <fb>63.07</fb>
    <v>1</v>
  </rv>
  <rv s="0">
    <fb>311.94</fb>
    <v>1</v>
  </rv>
  <rv s="0">
    <fb>151.82</fb>
    <v>1</v>
  </rv>
  <rv s="0">
    <fb>13.24</fb>
    <v>1</v>
  </rv>
  <rv s="0">
    <fb>3.84</fb>
    <v>1</v>
  </rv>
  <rv s="0">
    <fb>6.16</fb>
    <v>1</v>
  </rv>
  <rv s="0">
    <fb>100.12</fb>
    <v>1</v>
  </rv>
  <rv s="0">
    <fb>3.03</fb>
    <v>1</v>
  </rv>
  <rv s="0">
    <fb>44440</fb>
    <v>0</v>
  </rv>
  <rv s="0">
    <fb>54.61</fb>
    <v>1</v>
  </rv>
  <rv s="0">
    <fb>293.39999999999998</fb>
    <v>1</v>
  </rv>
  <rv s="0">
    <fb>139</fb>
    <v>1</v>
  </rv>
  <rv s="0">
    <fb>12.03</fb>
    <v>1</v>
  </rv>
  <rv s="0">
    <fb>3.93</fb>
    <v>1</v>
  </rv>
  <rv s="0">
    <fb>7.06</fb>
    <v>1</v>
  </rv>
  <rv s="0">
    <fb>104.33</fb>
    <v>1</v>
  </rv>
  <rv s="0">
    <fb>2.77</fb>
    <v>1</v>
  </rv>
  <rv s="0">
    <fb>44470</fb>
    <v>0</v>
  </rv>
  <rv s="0">
    <fb>53.28</fb>
    <v>1</v>
  </rv>
  <rv s="0">
    <fb>300.49</fb>
    <v>1</v>
  </rv>
  <rv s="0">
    <fb>149.51</fb>
    <v>1</v>
  </rv>
  <rv s="0">
    <fb>11.74</fb>
    <v>1</v>
  </rv>
  <rv s="0">
    <fb>3.82</fb>
    <v>1</v>
  </rv>
  <rv s="0">
    <fb>6.75</fb>
    <v>1</v>
  </rv>
  <rv s="0">
    <fb>104.68</fb>
    <v>1</v>
  </rv>
  <rv s="0">
    <fb>44501</fb>
    <v>0</v>
  </rv>
  <rv s="0">
    <fb>62.48</fb>
    <v>1</v>
  </rv>
  <rv s="0">
    <fb>306.79000000000002</fb>
    <v>1</v>
  </rv>
  <rv s="0">
    <fb>144.84</fb>
    <v>1</v>
  </rv>
  <rv s="0">
    <fb>12.1</fb>
    <v>1</v>
  </rv>
  <rv s="0">
    <fb>4.07</fb>
    <v>1</v>
  </rv>
  <rv s="0">
    <fb>93.18</fb>
    <v>1</v>
  </rv>
  <rv s="0">
    <fb>2.7</fb>
    <v>1</v>
  </rv>
  <rv s="0">
    <fb>44531</fb>
    <v>0</v>
  </rv>
  <rv s="0">
    <fb>62.44</fb>
    <v>1</v>
  </rv>
  <rv s="0">
    <fb>290.72000000000003</fb>
    <v>1</v>
  </rv>
  <rv s="0">
    <fb>141.44</fb>
    <v>1</v>
  </rv>
  <rv s="0">
    <fb>12.79</fb>
    <v>1</v>
  </rv>
  <rv s="0">
    <fb>4.18</fb>
    <v>1</v>
  </rv>
  <rv s="0">
    <fb>5.89</fb>
    <v>1</v>
  </rv>
  <rv s="0">
    <fb>101</fb>
    <v>1</v>
  </rv>
  <rv s="0">
    <fb>44562</fb>
    <v>0</v>
  </rv>
  <rv s="0">
    <fb>45.1</fb>
    <v>1</v>
  </rv>
  <rv s="0">
    <fb>260.35000000000002</fb>
    <v>1</v>
  </rv>
  <rv s="0">
    <fb>112.91</fb>
    <v>1</v>
  </rv>
  <rv s="0">
    <fb>10.67</fb>
    <v>1</v>
  </rv>
  <rv s="0">
    <fb>3.92</fb>
    <v>1</v>
  </rv>
  <rv s="0">
    <fb>5.9</fb>
    <v>1</v>
  </rv>
  <rv s="0">
    <fb>93.74</fb>
    <v>1</v>
  </rv>
  <rv s="0">
    <fb>2.2000000000000002</fb>
    <v>1</v>
  </rv>
  <rv s="0">
    <fb>44593</fb>
    <v>0</v>
  </rv>
  <rv s="0">
    <fb>46.73</fb>
    <v>1</v>
  </rv>
  <rv s="0">
    <fb>259.98</fb>
    <v>1</v>
  </rv>
  <rv s="0">
    <fb>93.73</fb>
    <v>1</v>
  </rv>
  <rv s="0">
    <fb>10.63</fb>
    <v>1</v>
  </rv>
  <rv s="0">
    <fb>3.96</fb>
    <v>1</v>
  </rv>
  <rv s="0">
    <fb>5.59</fb>
    <v>1</v>
  </rv>
  <rv s="0">
    <fb>93.46</fb>
    <v>1</v>
  </rv>
  <rv s="0">
    <fb>2.21</fb>
    <v>1</v>
  </rv>
  <rv s="0">
    <fb>44621</fb>
    <v>0</v>
  </rv>
  <rv s="0">
    <fb>48.99</fb>
    <v>1</v>
  </rv>
  <rv s="0">
    <fb>268.14999999999998</fb>
    <v>1</v>
  </rv>
  <rv s="0">
    <fb>102.75</fb>
    <v>1</v>
  </rv>
  <rv s="0">
    <fb>11.66</fb>
    <v>1</v>
  </rv>
  <rv s="0">
    <fb>6.05</fb>
    <v>1</v>
  </rv>
  <rv s="0">
    <fb>105.77</fb>
    <v>1</v>
  </rv>
  <rv s="0">
    <fb>2.15</fb>
    <v>1</v>
  </rv>
  <rv s="0">
    <fb>44652</fb>
    <v>0</v>
  </rv>
  <rv s="0">
    <fb>47.48</fb>
    <v>1</v>
  </rv>
  <rv s="0">
    <fb>273.3</fb>
    <v>1</v>
  </rv>
  <rv s="0">
    <fb>96.35</fb>
    <v>1</v>
  </rv>
  <rv s="0">
    <fb>11.28</fb>
    <v>1</v>
  </rv>
  <rv s="0">
    <fb>4.04</fb>
    <v>1</v>
  </rv>
  <rv s="0">
    <fb>5.88</fb>
    <v>1</v>
  </rv>
  <rv s="0">
    <fb>103.88</fb>
    <v>1</v>
  </rv>
  <rv s="0">
    <fb>2.04</fb>
    <v>1</v>
  </rv>
  <rv s="0">
    <fb>44682</fb>
    <v>0</v>
  </rv>
  <rv s="0">
    <fb>42.13</fb>
    <v>1</v>
  </rv>
  <rv s="0">
    <fb>271.83</fb>
    <v>1</v>
  </rv>
  <rv s="0">
    <fb>89.29</fb>
    <v>1</v>
  </rv>
  <rv s="0">
    <fb>11.01</fb>
    <v>1</v>
  </rv>
  <rv s="0">
    <fb>3.88</fb>
    <v>1</v>
  </rv>
  <rv s="0">
    <fb>5.75</fb>
    <v>1</v>
  </rv>
  <rv s="0">
    <fb>104.36</fb>
    <v>1</v>
  </rv>
  <rv s="0">
    <fb>1.89</fb>
    <v>1</v>
  </rv>
  <rv s="0">
    <fb>44713</fb>
    <v>0</v>
  </rv>
  <rv s="0">
    <fb>42.25</fb>
    <v>1</v>
  </rv>
  <rv s="0">
    <fb>269.06</fb>
    <v>1</v>
  </rv>
  <rv s="0">
    <fb>76.959999999999994</fb>
    <v>1</v>
  </rv>
  <rv s="0">
    <fb>10.64</fb>
    <v>1</v>
  </rv>
  <rv s="0">
    <fb>3.85</fb>
    <v>1</v>
  </rv>
  <rv s="0">
    <fb>5.97</fb>
    <v>1</v>
  </rv>
  <rv s="0">
    <fb>90.38</fb>
    <v>1</v>
  </rv>
  <rv s="0">
    <fb>1.51</fb>
    <v>1</v>
  </rv>
  <rv s="0">
    <fb>44743</fb>
    <v>0</v>
  </rv>
  <rv s="0">
    <fb>49.54</fb>
    <v>1</v>
  </rv>
  <rv s="0">
    <fb>289.83999999999997</fb>
    <v>1</v>
  </rv>
  <rv s="0">
    <fb>92.99</fb>
    <v>1</v>
  </rv>
  <rv s="0">
    <fb>11.78</fb>
    <v>1</v>
  </rv>
  <rv s="0">
    <fb>3.89</fb>
    <v>1</v>
  </rv>
  <rv s="0">
    <fb>6.34</fb>
    <v>1</v>
  </rv>
  <rv s="0">
    <fb>100.77</fb>
    <v>1</v>
  </rv>
  <rv s="0">
    <fb>44774</fb>
    <v>0</v>
  </rv>
  <rv s="0">
    <fb>54.48</fb>
    <v>1</v>
  </rv>
  <rv s="0">
    <fb>293.54000000000002</fb>
    <v>1</v>
  </rv>
  <rv s="0">
    <fb>87.75</fb>
    <v>1</v>
  </rv>
  <rv s="0">
    <fb>10.49</fb>
    <v>1</v>
  </rv>
  <rv s="0">
    <fb>3.97</fb>
    <v>1</v>
  </rv>
  <rv s="0">
    <fb>5.35</fb>
    <v>1</v>
  </rv>
  <rv s="0">
    <fb>97.47</fb>
    <v>1</v>
  </rv>
  <rv s="0">
    <fb>1.92</fb>
    <v>1</v>
  </rv>
  <rv s="0">
    <fb>44805</fb>
    <v>0</v>
  </rv>
  <rv s="0">
    <fb>50.19</fb>
    <v>1</v>
  </rv>
  <rv s="0">
    <fb>285.02</fb>
    <v>1</v>
  </rv>
  <rv s="0">
    <fb>73.510000000000005</fb>
    <v>1</v>
  </rv>
  <rv s="0">
    <fb>8.82</fb>
    <v>1</v>
  </rv>
  <rv s="0">
    <fb>4.8499999999999996</fb>
    <v>1</v>
  </rv>
  <rv s="0">
    <fb>90.7</fb>
    <v>1</v>
  </rv>
  <rv s="0">
    <fb>1.605</fb>
    <v>1</v>
  </rv>
  <rv s="0">
    <fb>44835</fb>
    <v>0</v>
  </rv>
  <rv s="0">
    <fb>55.82</fb>
    <v>1</v>
  </rv>
  <rv s="0">
    <fb>280.48</fb>
    <v>1</v>
  </rv>
  <rv s="0">
    <fb>78.069999999999993</fb>
    <v>1</v>
  </rv>
  <rv s="0">
    <fb>8.32</fb>
    <v>1</v>
  </rv>
  <rv s="0">
    <fb>4.9000000000000004</fb>
    <v>1</v>
  </rv>
  <rv s="0">
    <fb>1.68</fb>
    <v>1</v>
  </rv>
  <rv s="0">
    <fb>44866</fb>
    <v>0</v>
  </rv>
  <rv s="0">
    <fb>59.44</fb>
    <v>1</v>
  </rv>
  <rv s="0">
    <fb>300.11</fb>
    <v>1</v>
  </rv>
  <rv s="0">
    <fb>70.64</fb>
    <v>1</v>
  </rv>
  <rv s="0">
    <fb>9.8699999999999992</fb>
    <v>1</v>
  </rv>
  <rv s="0">
    <fb>3.98</fb>
    <v>1</v>
  </rv>
  <rv s="0">
    <fb>4.8899999999999997</fb>
    <v>1</v>
  </rv>
  <rv s="0">
    <fb>107.86</fb>
    <v>1</v>
  </rv>
  <rv s="0">
    <fb>1.665</fb>
    <v>1</v>
  </rv>
  <rv s="0">
    <fb>44896</fb>
    <v>0</v>
  </rv>
  <rv s="0">
    <fb>55.26</fb>
    <v>1</v>
  </rv>
  <rv s="0">
    <fb>287.76</fb>
    <v>1</v>
  </rv>
  <rv s="0">
    <fb>70.27</fb>
    <v>1</v>
  </rv>
  <rv s="0">
    <fb>9.1</fb>
    <v>1</v>
  </rv>
  <rv s="0">
    <fb>3.99</fb>
    <v>1</v>
  </rv>
  <rv s="0">
    <fb>102.6</fb>
    <v>1</v>
  </rv>
  <rv s="0">
    <fb>1.4550000000000001</fb>
    <v>1</v>
  </rv>
  <rv s="0">
    <fb>44927</fb>
    <v>0</v>
  </rv>
  <rv s="0">
    <fb>66.849999999999994</fb>
    <v>1</v>
  </rv>
  <rv s="0">
    <fb>298.08</fb>
    <v>1</v>
  </rv>
  <rv s="0">
    <fb>76.8</fb>
    <v>1</v>
  </rv>
  <rv s="0">
    <fb>9.89</fb>
    <v>1</v>
  </rv>
  <rv s="0">
    <fb>4.08</fb>
    <v>1</v>
  </rv>
  <rv s="0">
    <fb>4.82</fb>
    <v>1</v>
  </rv>
  <rv s="0">
    <fb>110.06</fb>
    <v>1</v>
  </rv>
  <rv s="0">
    <fb>1.69</fb>
    <v>1</v>
  </rv>
  <rv s="0">
    <fb>44958</fb>
    <v>0</v>
  </rv>
  <rv s="0">
    <fb>61.01</fb>
    <v>1</v>
  </rv>
  <rv s="0">
    <fb>296.3</fb>
    <v>1</v>
  </rv>
  <rv s="0">
    <fb>77.7</fb>
    <v>1</v>
  </rv>
  <rv s="0">
    <fb>10.27</fb>
    <v>1</v>
  </rv>
  <rv s="0">
    <fb>4.16</fb>
    <v>1</v>
  </rv>
  <rv s="0">
    <fb>5.07</fb>
    <v>1</v>
  </rv>
  <rv s="0">
    <fb>100.69</fb>
    <v>1</v>
  </rv>
  <rv s="0">
    <fb>1.575</fb>
    <v>1</v>
  </rv>
  <rv s="0">
    <fb>44986</fb>
    <v>0</v>
  </rv>
  <rv s="0">
    <fb>63.87</fb>
    <v>1</v>
  </rv>
  <rv s="0">
    <fb>288.3</fb>
    <v>1</v>
  </rv>
  <rv s="0">
    <fb>89.42</fb>
    <v>1</v>
  </rv>
  <rv s="0">
    <fb>10.46</fb>
    <v>1</v>
  </rv>
  <rv s="0">
    <fb>4.22</fb>
    <v>1</v>
  </rv>
  <rv s="0">
    <fb>4.88</fb>
    <v>1</v>
  </rv>
  <rv s="0">
    <fb>98.32</fb>
    <v>1</v>
  </rv>
  <rv s="0">
    <fb>1.49</fb>
    <v>1</v>
  </rv>
  <rv s="0">
    <fb>45017</fb>
    <v>0</v>
  </rv>
  <rv s="0">
    <fb>61.44</fb>
    <v>1</v>
  </rv>
  <rv s="0">
    <fb>300.58</fb>
    <v>1</v>
  </rv>
  <rv s="0">
    <fb>93.34</fb>
    <v>1</v>
  </rv>
  <rv s="0">
    <fb>11.48</fb>
    <v>1</v>
  </rv>
  <rv s="0">
    <fb>4.37</fb>
    <v>1</v>
  </rv>
  <rv s="0">
    <fb>5.37</fb>
    <v>1</v>
  </rv>
  <rv s="0">
    <fb>99.36</fb>
    <v>1</v>
  </rv>
  <rv s="0">
    <fb>1.61</fb>
    <v>1</v>
  </rv>
  <rv s="0">
    <fb>45047</fb>
    <v>0</v>
  </rv>
  <rv s="0">
    <fb>59.35</fb>
    <v>1</v>
  </rv>
  <rv s="0">
    <fb>306.39</fb>
    <v>1</v>
  </rv>
  <rv s="0">
    <fb>109.95</fb>
    <v>1</v>
  </rv>
  <rv s="0">
    <fb>12.71</fb>
    <v>1</v>
  </rv>
  <rv s="0">
    <fb>4.3600000000000003</fb>
    <v>1</v>
  </rv>
  <rv s="0">
    <fb>5.47</fb>
    <v>1</v>
  </rv>
  <rv s="0">
    <fb>96.78</fb>
    <v>1</v>
  </rv>
  <rv s="0">
    <fb>1.7</fb>
    <v>1</v>
  </rv>
  <rv s="0">
    <fb>45078</fb>
    <v>0</v>
  </rv>
  <rv s="0">
    <fb>65.64</fb>
    <v>1</v>
  </rv>
  <rv s="0">
    <fb>277.38</fb>
    <v>1</v>
  </rv>
  <rv s="0">
    <fb>118.93</fb>
    <v>1</v>
  </rv>
  <rv s="0">
    <fb>12.58</fb>
    <v>1</v>
  </rv>
  <rv s="0">
    <fb>4.3</fb>
    <v>1</v>
  </rv>
  <rv s="0">
    <fb>4.87</fb>
    <v>1</v>
  </rv>
  <rv s="0">
    <fb>100.27</fb>
    <v>1</v>
  </rv>
  <rv s="0">
    <fb>1.79</fb>
    <v>1</v>
  </rv>
  <rv s="0">
    <fb>45108</fb>
    <v>0</v>
  </rv>
  <rv s="0">
    <fb>68.790000000000006</fb>
    <v>1</v>
  </rv>
  <rv s="0">
    <fb>268.52</fb>
    <v>1</v>
  </rv>
  <rv s="0">
    <fb>122.21</fb>
    <v>1</v>
  </rv>
  <rv s="0">
    <fb>4.26</fb>
    <v>1</v>
  </rv>
  <rv s="0">
    <fb>5.0199999999999996</fb>
    <v>1</v>
  </rv>
  <rv s="0">
    <fb>105.71</fb>
    <v>1</v>
  </rv>
  <rv s="0">
    <fb>1.83</fb>
    <v>1</v>
  </rv>
  <rv s="0">
    <fb>45139</fb>
    <v>0</v>
  </rv>
  <rv s="0">
    <fb>73.319999999999993</fb>
    <v>1</v>
  </rv>
  <rv s="0">
    <fb>273.52999999999997</fb>
    <v>1</v>
  </rv>
  <rv s="0">
    <fb>125.1</fb>
    <v>1</v>
  </rv>
  <rv s="0">
    <fb>13.54</fb>
    <v>1</v>
  </rv>
  <rv s="0">
    <fb>4.01</fb>
    <v>1</v>
  </rv>
  <rv s="0">
    <fb>5.63</fb>
    <v>1</v>
  </rv>
  <rv s="0">
    <fb>102.18</fb>
    <v>1</v>
  </rv>
  <rv s="0">
    <fb>1.58</fb>
    <v>1</v>
  </rv>
  <rv s="0">
    <fb>45170</fb>
    <v>0</v>
  </rv>
  <rv s="0">
    <fb>83.39</fb>
    <v>1</v>
  </rv>
  <rv s="0">
    <fb>250.8</fb>
    <v>1</v>
  </rv>
  <rv s="0">
    <fb>112.43</fb>
    <v>1</v>
  </rv>
  <rv s="0">
    <fb>12.39</fb>
    <v>1</v>
  </rv>
  <rv s="0">
    <fb>5.46</fb>
    <v>1</v>
  </rv>
  <rv s="0">
    <fb>99.97</fb>
    <v>1</v>
  </rv>
  <rv s="0">
    <fb>1.46</fb>
    <v>1</v>
  </rv>
  <rv s="0">
    <fb>45200</fb>
    <v>0</v>
  </rv>
  <rv s="0">
    <fb>74.540000000000006</fb>
    <v>1</v>
  </rv>
  <rv s="0">
    <fb>232.35</fb>
    <v>1</v>
  </rv>
  <rv s="0">
    <fb>106.69</fb>
    <v>1</v>
  </rv>
  <rv s="0">
    <fb>11.75</fb>
    <v>1</v>
  </rv>
  <rv s="0">
    <fb>3.81</fb>
    <v>1</v>
  </rv>
  <rv s="0">
    <fb>5.18</fb>
    <v>1</v>
  </rv>
  <rv s="0">
    <fb>96.56</fb>
    <v>1</v>
  </rv>
  <rv s="0">
    <fb>1.29</fb>
    <v>1</v>
  </rv>
  <rv s="0">
    <fb>45231</fb>
    <v>0</v>
  </rv>
  <rv s="0">
    <fb>88.41</fb>
    <v>1</v>
  </rv>
  <rv s="0">
    <fb>262.23</fb>
    <v>1</v>
  </rv>
  <rv s="0">
    <fb>103.05</fb>
    <v>1</v>
  </rv>
  <rv s="0">
    <fb>13.03</fb>
    <v>1</v>
  </rv>
  <rv s="0">
    <fb>4.72</fb>
    <v>1</v>
  </rv>
  <rv s="0">
    <fb>104.66</fb>
    <v>1</v>
  </rv>
  <rv s="0">
    <fb>45261</fb>
    <v>0</v>
  </rv>
  <rv s="0">
    <fb>95.83</fb>
    <v>1</v>
  </rv>
  <rv s="0">
    <fb>286.64999999999998</fb>
    <v>1</v>
  </rv>
  <rv s="0">
    <fb>112.3</fb>
    <v>1</v>
  </rv>
  <rv s="0">
    <fb>13.73</fb>
    <v>1</v>
  </rv>
  <rv s="0">
    <fb>111.8</fb>
    <v>1</v>
  </rv>
  <rv s="0">
    <fb>1.56</fb>
    <v>1</v>
  </rv>
  <rv s="0">
    <fb>45292</fb>
    <v>0</v>
  </rv>
  <rv s="0">
    <fb>101.56</fb>
    <v>1</v>
  </rv>
  <rv s="0">
    <fb>301.7</fb>
    <v>1</v>
  </rv>
  <rv s="0">
    <fb>110.79</fb>
    <v>1</v>
  </rv>
  <rv s="0">
    <fb>14.02</fb>
    <v>1</v>
  </rv>
  <rv s="0">
    <fb>5.29</fb>
    <v>1</v>
  </rv>
  <rv s="0">
    <fb>117.53</fb>
    <v>1</v>
  </rv>
  <rv s="0">
    <fb>1.615</fb>
    <v>1</v>
  </rv>
  <rv s="0">
    <fb>45323</fb>
    <v>0</v>
  </rv>
  <rv s="0">
    <fb>103.82</fb>
    <v>1</v>
  </rv>
  <rv s="0">
    <fb>286.24</fb>
    <v>1</v>
  </rv>
  <rv s="0">
    <fb>127.31</fb>
    <v>1</v>
  </rv>
  <rv s="0">
    <fb>17.649999999999999</fb>
    <v>1</v>
  </rv>
  <rv s="0">
    <fb>4.6900000000000004</fb>
    <v>1</v>
  </rv>
  <rv s="0">
    <fb>116.41</fb>
    <v>1</v>
  </rv>
  <rv s="0">
    <fb>45352</fb>
    <v>0</v>
  </rv>
  <rv s="0">
    <fb>103.75</fb>
    <v>1</v>
  </rv>
  <rv s="0">
    <fb>287.92</fb>
    <v>1</v>
  </rv>
  <rv s="0">
    <fb>133.32</fb>
    <v>1</v>
  </rv>
  <rv s="0">
    <fb>17.79</fb>
    <v>1</v>
  </rv>
  <rv s="0">
    <fb>3.86</fb>
    <v>1</v>
  </rv>
  <rv s="0">
    <fb>4.51</fb>
    <v>1</v>
  </rv>
  <rv s="0">
    <fb>120.34</fb>
    <v>1</v>
  </rv>
  <rv s="0">
    <fb>1.63</fb>
    <v>1</v>
  </rv>
  <rv s="0">
    <fb>45383</fb>
    <v>0</v>
  </rv>
  <rv s="0">
    <fb>111.41</fb>
    <v>1</v>
  </rv>
  <rv s="0">
    <fb>276.76</fb>
    <v>1</v>
  </rv>
  <rv s="0">
    <fb>122.08</fb>
    <v>1</v>
  </rv>
  <rv s="0">
    <fb>16.690000000000001</fb>
    <v>1</v>
  </rv>
  <rv s="0">
    <fb>3.67</fb>
    <v>1</v>
  </rv>
  <rv s="0">
    <fb>114.54</fb>
    <v>1</v>
  </rv>
  <rv s="0">
    <fb>1.5</fb>
    <v>1</v>
  </rv>
  <rv s="0">
    <fb>45413</fb>
    <v>0</v>
  </rv>
  <rv s="0">
    <fb>120.12</fb>
    <v>1</v>
  </rv>
  <rv s="0">
    <fb>280.10000000000002</fb>
    <v>1</v>
  </rv>
  <rv s="0">
    <fb>135</fb>
    <v>1</v>
  </rv>
  <rv s="0">
    <fb>3.47</fb>
    <v>1</v>
  </rv>
  <rv s="0">
    <fb>4.6500000000000004</fb>
    <v>1</v>
  </rv>
  <rv s="0">
    <fb>119.54</fb>
    <v>1</v>
  </rv>
  <rv s="0">
    <fb>1.45</fb>
    <v>1</v>
  </rv>
  <rv s="0">
    <fb>45444</fb>
    <v>0</v>
  </rv>
  <rv s="0">
    <fb>143.26</fb>
    <v>1</v>
  </rv>
  <rv s="0">
    <fb>295.20999999999998</fb>
    <v>1</v>
  </rv>
  <rv s="0">
    <fb>136.4</fb>
    <v>1</v>
  </rv>
  <rv s="0">
    <fb>17.63</fb>
    <v>1</v>
  </rv>
  <rv s="0">
    <fb>3.62</fb>
    <v>1</v>
  </rv>
  <rv s="0">
    <fb>4.58</fb>
    <v>1</v>
  </rv>
  <rv s="0">
    <fb>127.38</fb>
    <v>1</v>
  </rv>
  <rv s="0">
    <fb>1.38</fb>
    <v>1</v>
  </rv>
  <rv s="0">
    <fb>45474</fb>
    <v>0</v>
  </rv>
  <rv s="0">
    <fb>143.76</fb>
    <v>1</v>
  </rv>
  <rv s="0">
    <fb>309.72000000000003</fb>
    <v>1</v>
  </rv>
  <rv s="0">
    <fb>138.18</fb>
    <v>1</v>
  </rv>
  <rv s="0">
    <fb>16.75</fb>
    <v>1</v>
  </rv>
  <rv s="0">
    <fb>3.94</fb>
    <v>1</v>
  </rv>
  <rv s="0">
    <fb>4.75</fb>
    <v>1</v>
  </rv>
  <rv s="0">
    <fb>137.49</fb>
    <v>1</v>
  </rv>
  <rv s="0">
    <fb>1.4650000000000001</fb>
    <v>1</v>
  </rv>
  <rv s="0">
    <fb>45505</fb>
    <v>0</v>
  </rv>
  <rv s="0">
    <fb>150.69999999999999</fb>
    <v>1</v>
  </rv>
  <rv s="0">
    <fb>307.16000000000003</fb>
    <v>1</v>
  </rv>
  <rv s="0">
    <fb>142.84</fb>
    <v>1</v>
  </rv>
  <rv s="0">
    <fb>16.95</fb>
    <v>1</v>
  </rv>
  <rv s="0">
    <fb>4.96</fb>
    <v>1</v>
  </rv>
  <rv s="0">
    <fb>139.5</fb>
    <v>1</v>
  </rv>
  <rv s="0">
    <fb>1.6</fb>
    <v>1</v>
  </rv>
  <rv s="0">
    <fb>45536</fb>
    <v>0</v>
  </rv>
  <rv s="0">
    <fb>178.25</fb>
    <v>1</v>
  </rv>
  <rv s="0">
    <fb>286.27999999999997</fb>
    <v>1</v>
  </rv>
  <rv s="0">
    <fb>149.44</fb>
    <v>1</v>
  </rv>
  <rv s="0">
    <fb>17.5</fb>
    <v>1</v>
  </rv>
  <rv s="0">
    <fb>4.92</fb>
    <v>1</v>
  </rv>
  <rv s="0">
    <fb>135.38999999999999</fb>
    <v>1</v>
  </rv>
  <rv s="0">
    <fb>1.595</fb>
    <v>1</v>
  </rv>
  <rv s="0">
    <fb>45566</fb>
    <v>0</v>
  </rv>
  <rv s="0">
    <fb>194.83</fb>
    <v>1</v>
  </rv>
  <rv s="0">
    <fb>286.95</fb>
    <v>1</v>
  </rv>
  <rv s="0">
    <fb>149.5</fb>
    <v>1</v>
  </rv>
  <rv s="0">
    <fb>16.420000000000002</fb>
    <v>1</v>
  </rv>
  <rv s="0">
    <fb>4.5199999999999996</fb>
    <v>1</v>
  </rv>
  <rv s="0">
    <fb>142.75</fb>
    <v>1</v>
  </rv>
  <rv s="0">
    <fb>45597</fb>
    <v>0</v>
  </rv>
  <rv s="0">
    <fb>251.89</fb>
    <v>1</v>
  </rv>
  <rv s="0">
    <fb>282.22000000000003</fb>
    <v>1</v>
  </rv>
  <rv s="0">
    <fb>173.85</fb>
    <v>1</v>
  </rv>
  <rv s="0">
    <fb>16.27</fb>
    <v>1</v>
  </rv>
  <rv s="0">
    <fb>4.5</fb>
    <v>1</v>
  </rv>
  <rv s="0">
    <fb>158.58000000000001</fb>
    <v>1</v>
  </rv>
  <rv s="0">
    <fb>1.5349999999999999</fb>
    <v>1</v>
  </rv>
  <rv s="0">
    <fb>45627</fb>
    <v>0</v>
  </rv>
  <rv s="0">
    <fb>250.12</fb>
    <v>1</v>
  </rv>
  <rv s="0">
    <fb>281.58</fb>
    <v>1</v>
  </rv>
  <rv s="0">
    <fb>168.56</fb>
    <v>1</v>
  </rv>
  <rv s="0">
    <fb>15.07</fb>
    <v>1</v>
  </rv>
  <rv s="0">
    <fb>4.49</fb>
    <v>1</v>
  </rv>
  <rv s="0">
    <fb>153.25</fb>
    <v>1</v>
  </rv>
  <rv s="0">
    <fb>45658</fb>
    <v>0</v>
  </rv>
  <rv s="0">
    <fb>278.39999999999998</fb>
    <v>1</v>
  </rv>
  <rv s="0">
    <fb>280.43</fb>
    <v>1</v>
  </rv>
  <rv s="0">
    <fb>183.27</fb>
    <v>1</v>
  </rv>
  <rv s="0">
    <fb>14.85</fb>
    <v>1</v>
  </rv>
  <rv s="0">
    <fb>3.95</fb>
    <v>1</v>
  </rv>
  <rv s="0">
    <fb>4.4000000000000004</fb>
    <v>1</v>
  </rv>
  <rv s="0">
    <fb>160.56</fb>
    <v>1</v>
  </rv>
  <rv s="0">
    <fb>1.65</fb>
    <v>1</v>
  </rv>
  <rv s="1">
    <v>2</v>
    <v>XASX:AFG</v>
    <v>Monthly</v>
    <v>44197</v>
    <v>45688</v>
    <v>0</v>
    <v>1</v>
    <v>638738784000000000,638794672825293041,0</v>
    <v>0</v>
    <v>aa49oc</v>
    <v>XASX:AFG</v>
    <v>1</v>
  </rv>
  <rv s="1">
    <v>2</v>
    <v>XASX:NXT</v>
    <v>Monthly</v>
    <v>44197</v>
    <v>45688</v>
    <v>0</v>
    <v>1</v>
    <v>638738784000000000,638794705180831285,0</v>
    <v>0</v>
    <v>aa8bvh</v>
    <v>XASX:NXT</v>
    <v>2</v>
  </rv>
  <rv s="1">
    <v>2</v>
    <v>XASX:PME</v>
    <v>Monthly</v>
    <v>44197</v>
    <v>45688</v>
    <v>0</v>
    <v>1</v>
    <v>638738784000000000,638794654091230883,0</v>
    <v>0</v>
    <v>aa8m6h</v>
    <v>XASX:PME</v>
    <v>3</v>
  </rv>
  <rv s="1">
    <v>2</v>
    <v>XASX:TPG</v>
    <v>Monthly</v>
    <v>44197</v>
    <v>45688</v>
    <v>0</v>
    <v>1</v>
    <v>638738784000000000,638794670839027124,0</v>
    <v>0</v>
    <v>bv12cw</v>
    <v>XASX:TPG</v>
    <v>4</v>
  </rv>
  <rv s="1">
    <v>2</v>
    <v>XASX:CSL</v>
    <v>Monthly</v>
    <v>44197</v>
    <v>45688</v>
    <v>0</v>
    <v>1</v>
    <v>638738784000000000,638794707289090338,0</v>
    <v>0</v>
    <v>aa5nnm</v>
    <v>XASX:CSL</v>
    <v>5</v>
  </rv>
  <rv s="1">
    <v>2</v>
    <v>XASX:XRO</v>
    <v>Monthly</v>
    <v>44197</v>
    <v>45688</v>
    <v>0</v>
    <v>1</v>
    <v>638738784000000000,638794656992074761,0</v>
    <v>0</v>
    <v>aaaq7w</v>
    <v>XASX:XRO</v>
    <v>6</v>
  </rv>
  <rv s="1">
    <v>2</v>
    <v>XASX:TLS</v>
    <v>Monthly</v>
    <v>44197</v>
    <v>45688</v>
    <v>0</v>
    <v>1</v>
    <v>638738784000000000,638794657302091288,0</v>
    <v>0</v>
    <v>aa9vc7</v>
    <v>XASX:TLS</v>
    <v>7</v>
  </rv>
  <rv s="1">
    <v>2</v>
    <v>XASX:CBA</v>
    <v>Monthly</v>
    <v>44197</v>
    <v>45688</v>
    <v>0</v>
    <v>1</v>
    <v>638738784000000000,638794657464970894,0</v>
    <v>0</v>
    <v>aa5cec</v>
    <v>XASX:CBA</v>
    <v>8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/mm/yyyy"/>
    </x:dxf>
    <x:dxf>
      <x:numFmt numFmtId="0" formatCode="General"/>
    </x:dxf>
  </dxfs>
  <richProperties>
    <rPr n="NumberFormat" t="s"/>
  </richProperties>
  <richStyles>
    <rSty dxfid="0"/>
    <rSty dxfid="1">
      <rpv i="0">_-[$$-en-AU]* #,##0.00_-;-[$$-en-AU]* #,##0.00_-;_-[$$-en-AU]* "-"??_-;_-@_-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89CE-5790-4F42-991A-178A2091CDD5}">
  <sheetPr>
    <tabColor rgb="FF00B0F0"/>
  </sheetPr>
  <dimension ref="A2:AO56"/>
  <sheetViews>
    <sheetView zoomScaleNormal="100" workbookViewId="0">
      <selection activeCell="P55" sqref="P55"/>
    </sheetView>
  </sheetViews>
  <sheetFormatPr defaultRowHeight="14.4" x14ac:dyDescent="0.3"/>
  <cols>
    <col min="1" max="1" width="9" bestFit="1" customWidth="1"/>
    <col min="2" max="2" width="14.77734375" customWidth="1"/>
    <col min="3" max="3" width="12.109375" customWidth="1"/>
    <col min="4" max="4" width="13.109375" style="2" customWidth="1"/>
    <col min="5" max="5" width="2.21875" style="9" customWidth="1"/>
    <col min="6" max="6" width="11.44140625" style="9" customWidth="1"/>
    <col min="7" max="7" width="9.21875" style="9" customWidth="1"/>
    <col min="8" max="8" width="15.77734375" style="9" customWidth="1"/>
    <col min="9" max="9" width="1.88671875" style="9" customWidth="1"/>
    <col min="10" max="10" width="12.44140625" style="9" customWidth="1"/>
    <col min="11" max="11" width="8.77734375" style="9" customWidth="1"/>
    <col min="12" max="12" width="10.6640625" style="9" customWidth="1"/>
    <col min="13" max="13" width="2.109375" style="9" customWidth="1"/>
    <col min="14" max="14" width="11.44140625" style="9" customWidth="1"/>
    <col min="15" max="16" width="9" bestFit="1" customWidth="1"/>
    <col min="17" max="17" width="2.44140625" customWidth="1"/>
    <col min="18" max="18" width="9.5546875" bestFit="1" customWidth="1"/>
    <col min="19" max="19" width="9" bestFit="1" customWidth="1"/>
    <col min="20" max="20" width="9.77734375" customWidth="1"/>
    <col min="21" max="21" width="2.21875" style="9" customWidth="1"/>
    <col min="22" max="22" width="11.44140625" style="9" customWidth="1"/>
    <col min="23" max="24" width="9.21875" style="9" customWidth="1"/>
    <col min="25" max="25" width="1.88671875" style="9" customWidth="1"/>
    <col min="26" max="26" width="12.44140625" style="9" customWidth="1"/>
    <col min="27" max="27" width="8.77734375" style="9" customWidth="1"/>
    <col min="28" max="28" width="10.6640625" style="9" customWidth="1"/>
    <col min="29" max="29" width="2.109375" style="9" customWidth="1"/>
    <col min="30" max="30" width="11.44140625" style="9" customWidth="1"/>
    <col min="31" max="31" width="9" bestFit="1" customWidth="1"/>
    <col min="32" max="32" width="11.44140625" customWidth="1"/>
    <col min="33" max="33" width="2.44140625" customWidth="1"/>
    <col min="34" max="34" width="9.109375" bestFit="1" customWidth="1"/>
    <col min="35" max="35" width="71.44140625" customWidth="1"/>
    <col min="37" max="37" width="20.33203125" customWidth="1"/>
    <col min="38" max="38" width="33.5546875" customWidth="1"/>
    <col min="39" max="39" width="21.44140625" customWidth="1"/>
    <col min="40" max="40" width="19.109375" customWidth="1"/>
    <col min="41" max="41" width="12.33203125" customWidth="1"/>
  </cols>
  <sheetData>
    <row r="2" spans="1:41" x14ac:dyDescent="0.3">
      <c r="B2" t="s">
        <v>57</v>
      </c>
    </row>
    <row r="3" spans="1:41" x14ac:dyDescent="0.3">
      <c r="B3" t="s">
        <v>58</v>
      </c>
      <c r="D3" s="135"/>
    </row>
    <row r="4" spans="1:41" ht="27.6" customHeight="1" x14ac:dyDescent="0.3">
      <c r="B4" s="280" t="s">
        <v>97</v>
      </c>
      <c r="C4" s="280"/>
      <c r="D4" s="280"/>
      <c r="E4" s="10"/>
      <c r="F4" s="277" t="s">
        <v>100</v>
      </c>
      <c r="G4" s="277"/>
      <c r="H4" s="277"/>
      <c r="I4" s="12"/>
      <c r="J4" s="278" t="s">
        <v>96</v>
      </c>
      <c r="K4" s="278"/>
      <c r="L4" s="278"/>
      <c r="M4" s="10"/>
      <c r="N4" s="277" t="s">
        <v>87</v>
      </c>
      <c r="O4" s="277"/>
      <c r="P4" s="277"/>
      <c r="Q4" s="10"/>
      <c r="R4" s="278" t="s">
        <v>98</v>
      </c>
      <c r="S4" s="278"/>
      <c r="T4" s="278"/>
      <c r="U4" s="10"/>
      <c r="V4" s="277" t="s">
        <v>89</v>
      </c>
      <c r="W4" s="277"/>
      <c r="X4" s="277"/>
      <c r="Y4" s="12"/>
      <c r="Z4" s="278" t="s">
        <v>99</v>
      </c>
      <c r="AA4" s="278"/>
      <c r="AB4" s="278"/>
      <c r="AC4" s="10"/>
      <c r="AD4" s="277" t="s">
        <v>88</v>
      </c>
      <c r="AE4" s="277"/>
      <c r="AF4" s="277"/>
      <c r="AG4" s="10"/>
    </row>
    <row r="5" spans="1:41" ht="57.6" x14ac:dyDescent="0.3">
      <c r="B5" s="27" t="str" cm="1">
        <f t="array" aca="1" ref="B5:C54" ca="1">_xlfn.STOCKHISTORY("XASX:PME","01-01-2021","01-01-2025",2,1,0,1)</f>
        <v>Date</v>
      </c>
      <c r="C5" s="28" t="str">
        <f ca="1"/>
        <v>Close</v>
      </c>
      <c r="D5" s="26" t="s">
        <v>235</v>
      </c>
      <c r="E5" s="11"/>
      <c r="F5" s="3" t="str" cm="1">
        <f t="array" aca="1" ref="F5:G54" ca="1">_xlfn.STOCKHISTORY("XASX:CSL","01-01-2021","01-01-2025",2,1,0,1)</f>
        <v>Date</v>
      </c>
      <c r="G5" t="str">
        <f ca="1"/>
        <v>Close</v>
      </c>
      <c r="H5" s="5"/>
      <c r="I5" s="11"/>
      <c r="J5" s="3" t="str" cm="1">
        <f t="array" aca="1" ref="J5:K54" ca="1">_xlfn.STOCKHISTORY("XASX:XRO","01-01-2021","01-01-2025",2,1,0,1)</f>
        <v>Date</v>
      </c>
      <c r="K5" t="str">
        <f ca="1"/>
        <v>Close</v>
      </c>
      <c r="L5" s="5"/>
      <c r="M5" s="11"/>
      <c r="N5" s="3" t="str" cm="1">
        <f t="array" aca="1" ref="N5:O54" ca="1">_xlfn.STOCKHISTORY("XASX:NXT","01-01-2021","01-01-2025",2,1,0,1)</f>
        <v>Date</v>
      </c>
      <c r="O5" t="str">
        <f ca="1"/>
        <v>Close</v>
      </c>
      <c r="P5" s="5"/>
      <c r="Q5" s="11"/>
      <c r="R5" s="3" t="str" cm="1">
        <f t="array" aca="1" ref="R5:S54" ca="1">_xlfn.STOCKHISTORY("XASX:TLS","01-01-2021","01-01-2025",2,1,0,1)</f>
        <v>Date</v>
      </c>
      <c r="S5" t="str">
        <f ca="1"/>
        <v>Close</v>
      </c>
      <c r="T5" s="5"/>
      <c r="U5" s="11"/>
      <c r="V5" s="3" t="str" cm="1">
        <f t="array" aca="1" ref="V5:W54" ca="1">_xlfn.STOCKHISTORY("XASX:TPG","01-01-2021","01-01-2025",2,1,0,1)</f>
        <v>Date</v>
      </c>
      <c r="W5" t="str">
        <f ca="1"/>
        <v>Close</v>
      </c>
      <c r="X5" s="5"/>
      <c r="Y5" s="11"/>
      <c r="Z5" s="3" t="str" cm="1">
        <f t="array" aca="1" ref="Z5:AA54" ca="1">_xlfn.STOCKHISTORY("XASX:CBA","01-01-2021","01-01-2025",2,1,0,1)</f>
        <v>Date</v>
      </c>
      <c r="AA5" t="str">
        <f ca="1"/>
        <v>Close</v>
      </c>
      <c r="AB5" s="5"/>
      <c r="AC5" s="11"/>
      <c r="AD5" s="3" t="str" cm="1">
        <f t="array" aca="1" ref="AD5:AE54" ca="1">_xlfn.STOCKHISTORY("XASX:AFG","01-01-2021","01-01-2025",2,1,0,1)</f>
        <v>Date</v>
      </c>
      <c r="AE5" t="str">
        <f ca="1"/>
        <v>Close</v>
      </c>
      <c r="AF5" s="5"/>
      <c r="AG5" s="11"/>
      <c r="AI5" s="8" t="s">
        <v>69</v>
      </c>
      <c r="AK5" s="170" t="s">
        <v>1</v>
      </c>
      <c r="AL5" s="170" t="s">
        <v>2</v>
      </c>
      <c r="AM5" s="139" t="s">
        <v>3</v>
      </c>
      <c r="AN5" s="140" t="s">
        <v>34</v>
      </c>
      <c r="AO5" s="171" t="s">
        <v>29</v>
      </c>
    </row>
    <row r="6" spans="1:41" x14ac:dyDescent="0.3">
      <c r="A6">
        <v>0</v>
      </c>
      <c r="B6" s="169" vm="1">
        <f ca="1"/>
        <v>44197</v>
      </c>
      <c r="C6" s="169" vm="2">
        <f ca="1"/>
        <v>42.84</v>
      </c>
      <c r="D6" s="4"/>
      <c r="E6" s="10"/>
      <c r="F6" s="169" vm="1">
        <f ca="1"/>
        <v>44197</v>
      </c>
      <c r="G6" s="169" vm="3">
        <f ca="1"/>
        <v>271.72000000000003</v>
      </c>
      <c r="H6" s="4"/>
      <c r="I6" s="10"/>
      <c r="J6" s="169" vm="1">
        <f ca="1"/>
        <v>44197</v>
      </c>
      <c r="K6" s="169" vm="4">
        <f ca="1"/>
        <v>129.88999999999999</v>
      </c>
      <c r="L6" s="4"/>
      <c r="M6" s="10"/>
      <c r="N6" s="169" vm="1">
        <f ca="1"/>
        <v>44197</v>
      </c>
      <c r="O6" s="169" vm="5">
        <f ca="1"/>
        <v>11.6</v>
      </c>
      <c r="P6" s="4"/>
      <c r="Q6" s="10"/>
      <c r="R6" s="169" vm="1">
        <f ca="1"/>
        <v>44197</v>
      </c>
      <c r="S6" s="169" vm="6">
        <f ca="1"/>
        <v>3.12</v>
      </c>
      <c r="T6" s="4"/>
      <c r="U6" s="10"/>
      <c r="V6" s="169" vm="1">
        <f ca="1"/>
        <v>44197</v>
      </c>
      <c r="W6" s="169" vm="7">
        <f ca="1"/>
        <v>7.4</v>
      </c>
      <c r="X6" s="4"/>
      <c r="Y6" s="10"/>
      <c r="Z6" s="169" vm="1">
        <f ca="1"/>
        <v>44197</v>
      </c>
      <c r="AA6" s="169" vm="8">
        <f ca="1"/>
        <v>83.51</v>
      </c>
      <c r="AB6" s="4"/>
      <c r="AC6" s="10"/>
      <c r="AD6" s="169" vm="1">
        <f ca="1"/>
        <v>44197</v>
      </c>
      <c r="AE6" s="169" vm="9">
        <f ca="1"/>
        <v>2.74</v>
      </c>
      <c r="AF6" s="4"/>
      <c r="AG6" s="10"/>
      <c r="AK6" s="147" t="s">
        <v>70</v>
      </c>
      <c r="AL6" s="148" t="s">
        <v>71</v>
      </c>
      <c r="AM6" s="283" t="s">
        <v>9</v>
      </c>
      <c r="AN6" s="289" t="s">
        <v>45</v>
      </c>
      <c r="AO6" s="122" t="s">
        <v>37</v>
      </c>
    </row>
    <row r="7" spans="1:41" x14ac:dyDescent="0.3">
      <c r="A7">
        <v>1</v>
      </c>
      <c r="B7" s="169" vm="10">
        <f ca="1"/>
        <v>44228</v>
      </c>
      <c r="C7" s="169" vm="11">
        <f ca="1"/>
        <v>44.35</v>
      </c>
      <c r="D7" s="4">
        <f ca="1">(C7-C6)/C6</f>
        <v>3.5247432306255787E-2</v>
      </c>
      <c r="E7" s="10"/>
      <c r="F7" s="169" vm="10">
        <f ca="1"/>
        <v>44228</v>
      </c>
      <c r="G7" s="169" vm="12">
        <f ca="1"/>
        <v>262.58999999999997</v>
      </c>
      <c r="H7" s="4">
        <f ca="1">(G7-G6)/G6</f>
        <v>-3.3600765493890961E-2</v>
      </c>
      <c r="I7" s="10"/>
      <c r="J7" s="169" vm="10">
        <f ca="1"/>
        <v>44228</v>
      </c>
      <c r="K7" s="169" vm="13">
        <f ca="1"/>
        <v>118.43</v>
      </c>
      <c r="L7" s="4">
        <f ca="1">(K7-K6)/K6</f>
        <v>-8.8228501039340837E-2</v>
      </c>
      <c r="M7" s="10"/>
      <c r="N7" s="169" vm="10">
        <f ca="1"/>
        <v>44228</v>
      </c>
      <c r="O7" s="169" vm="14">
        <f ca="1"/>
        <v>11.2</v>
      </c>
      <c r="P7" s="4">
        <f ca="1">(O7-O6)/O6</f>
        <v>-3.4482758620689689E-2</v>
      </c>
      <c r="Q7" s="10"/>
      <c r="R7" s="169" vm="10">
        <f ca="1"/>
        <v>44228</v>
      </c>
      <c r="S7" s="169" vm="15">
        <f ca="1"/>
        <v>3.08</v>
      </c>
      <c r="T7" s="4">
        <f ca="1">(S7-S6)/S6</f>
        <v>-1.2820512820512832E-2</v>
      </c>
      <c r="U7" s="10"/>
      <c r="V7" s="169" vm="10">
        <f ca="1"/>
        <v>44228</v>
      </c>
      <c r="W7" s="169" vm="16">
        <f ca="1"/>
        <v>6.8</v>
      </c>
      <c r="X7" s="4">
        <f ca="1">(W7-W6)/W6</f>
        <v>-8.1081081081081155E-2</v>
      </c>
      <c r="Y7" s="10"/>
      <c r="Z7" s="169" vm="10">
        <f ca="1"/>
        <v>44228</v>
      </c>
      <c r="AA7" s="169" vm="17">
        <f ca="1"/>
        <v>81.56</v>
      </c>
      <c r="AB7" s="4">
        <f ca="1">(AA7-AA6)/AA6</f>
        <v>-2.3350496946473509E-2</v>
      </c>
      <c r="AC7" s="10"/>
      <c r="AD7" s="169" vm="10">
        <f ca="1"/>
        <v>44228</v>
      </c>
      <c r="AE7" s="169" vm="18">
        <f ca="1"/>
        <v>2.81</v>
      </c>
      <c r="AF7" s="4">
        <f ca="1">(AE7-AE6)/AE6</f>
        <v>2.5547445255474394E-2</v>
      </c>
      <c r="AG7" s="10"/>
      <c r="AI7" s="3" t="s">
        <v>21</v>
      </c>
      <c r="AK7" s="147" t="s">
        <v>101</v>
      </c>
      <c r="AL7" s="156" t="s">
        <v>102</v>
      </c>
      <c r="AM7" s="284"/>
      <c r="AN7" s="289"/>
      <c r="AO7" s="122" t="s">
        <v>38</v>
      </c>
    </row>
    <row r="8" spans="1:41" x14ac:dyDescent="0.3">
      <c r="A8">
        <v>2</v>
      </c>
      <c r="B8" s="169" vm="19">
        <f ca="1"/>
        <v>44256</v>
      </c>
      <c r="C8" s="169" vm="20">
        <f ca="1"/>
        <v>41.33</v>
      </c>
      <c r="D8" s="4">
        <f t="shared" ref="D8:D54" ca="1" si="0">(C8-C7)/C7</f>
        <v>-6.809470124013535E-2</v>
      </c>
      <c r="E8" s="10"/>
      <c r="F8" s="169" vm="19">
        <f ca="1"/>
        <v>44256</v>
      </c>
      <c r="G8" s="169" vm="21">
        <f ca="1"/>
        <v>264.64999999999998</v>
      </c>
      <c r="H8" s="4">
        <f t="shared" ref="H8:H54" ca="1" si="1">(G8-G7)/G7</f>
        <v>7.8449293575536105E-3</v>
      </c>
      <c r="I8" s="10"/>
      <c r="J8" s="169" vm="19">
        <f ca="1"/>
        <v>44256</v>
      </c>
      <c r="K8" s="169" vm="22">
        <f ca="1"/>
        <v>126.53</v>
      </c>
      <c r="L8" s="4">
        <f t="shared" ref="L8:L54" ca="1" si="2">(K8-K7)/K7</f>
        <v>6.8394832390441557E-2</v>
      </c>
      <c r="M8" s="10"/>
      <c r="N8" s="169" vm="19">
        <f ca="1"/>
        <v>44256</v>
      </c>
      <c r="O8" s="169" vm="23">
        <f ca="1"/>
        <v>10.42</v>
      </c>
      <c r="P8" s="4">
        <f t="shared" ref="P8:P54" ca="1" si="3">(O8-O7)/O7</f>
        <v>-6.964285714285709E-2</v>
      </c>
      <c r="Q8" s="10"/>
      <c r="R8" s="169" vm="19">
        <f ca="1"/>
        <v>44256</v>
      </c>
      <c r="S8" s="169" vm="24">
        <f ca="1"/>
        <v>3.4</v>
      </c>
      <c r="T8" s="4">
        <f t="shared" ref="T8:T54" ca="1" si="4">(S8-S7)/S7</f>
        <v>0.10389610389610385</v>
      </c>
      <c r="U8" s="10"/>
      <c r="V8" s="169" vm="19">
        <f ca="1"/>
        <v>44256</v>
      </c>
      <c r="W8" s="169" vm="25">
        <f ca="1"/>
        <v>6.33</v>
      </c>
      <c r="X8" s="4">
        <f t="shared" ref="X8:X54" ca="1" si="5">(W8-W7)/W7</f>
        <v>-6.9117647058823492E-2</v>
      </c>
      <c r="Y8" s="10"/>
      <c r="Z8" s="169" vm="19">
        <f ca="1"/>
        <v>44256</v>
      </c>
      <c r="AA8" s="169" vm="26">
        <f ca="1"/>
        <v>86.1</v>
      </c>
      <c r="AB8" s="4">
        <f t="shared" ref="AB8:AB54" ca="1" si="6">(AA8-AA7)/AA7</f>
        <v>5.5664541441883174E-2</v>
      </c>
      <c r="AC8" s="10"/>
      <c r="AD8" s="169" vm="19">
        <f ca="1"/>
        <v>44256</v>
      </c>
      <c r="AE8" s="169" vm="27">
        <f ca="1"/>
        <v>2.63</v>
      </c>
      <c r="AF8" s="4">
        <f t="shared" ref="AF8:AF54" ca="1" si="7">(AE8-AE7)/AE7</f>
        <v>-6.4056939501779417E-2</v>
      </c>
      <c r="AG8" s="10"/>
      <c r="AI8" s="3" t="s">
        <v>22</v>
      </c>
      <c r="AK8" s="157" t="s">
        <v>72</v>
      </c>
      <c r="AL8" s="158" t="s">
        <v>73</v>
      </c>
      <c r="AM8" s="285" t="s">
        <v>10</v>
      </c>
      <c r="AN8" s="279" t="s">
        <v>46</v>
      </c>
      <c r="AO8" s="123" t="s">
        <v>39</v>
      </c>
    </row>
    <row r="9" spans="1:41" x14ac:dyDescent="0.3">
      <c r="A9">
        <v>3</v>
      </c>
      <c r="B9" s="169" vm="28">
        <f ca="1"/>
        <v>44287</v>
      </c>
      <c r="C9" s="169" vm="29">
        <f ca="1"/>
        <v>47.21</v>
      </c>
      <c r="D9" s="4">
        <f t="shared" ca="1" si="0"/>
        <v>0.142269537865957</v>
      </c>
      <c r="E9" s="10"/>
      <c r="F9" s="169" vm="28">
        <f ca="1"/>
        <v>44287</v>
      </c>
      <c r="G9" s="169" vm="30">
        <f ca="1"/>
        <v>271.16000000000003</v>
      </c>
      <c r="H9" s="4">
        <f t="shared" ca="1" si="1"/>
        <v>2.4598526355564136E-2</v>
      </c>
      <c r="I9" s="10"/>
      <c r="J9" s="169" vm="28">
        <f ca="1"/>
        <v>44287</v>
      </c>
      <c r="K9" s="169" vm="31">
        <f ca="1"/>
        <v>141.56</v>
      </c>
      <c r="L9" s="4">
        <f t="shared" ca="1" si="2"/>
        <v>0.11878605864221925</v>
      </c>
      <c r="M9" s="10"/>
      <c r="N9" s="169" vm="28">
        <f ca="1"/>
        <v>44287</v>
      </c>
      <c r="O9" s="169" vm="32">
        <f ca="1"/>
        <v>11.59</v>
      </c>
      <c r="P9" s="4">
        <f t="shared" ca="1" si="3"/>
        <v>0.11228406909788867</v>
      </c>
      <c r="Q9" s="10"/>
      <c r="R9" s="169" vm="28">
        <f ca="1"/>
        <v>44287</v>
      </c>
      <c r="S9" s="169" vm="33">
        <f ca="1"/>
        <v>3.39</v>
      </c>
      <c r="T9" s="4">
        <f t="shared" ca="1" si="4"/>
        <v>-2.9411764705881728E-3</v>
      </c>
      <c r="U9" s="10"/>
      <c r="V9" s="169" vm="28">
        <f ca="1"/>
        <v>44287</v>
      </c>
      <c r="W9" s="169" vm="34">
        <f ca="1"/>
        <v>5.51</v>
      </c>
      <c r="X9" s="4">
        <f t="shared" ca="1" si="5"/>
        <v>-0.12954186413902058</v>
      </c>
      <c r="Y9" s="10"/>
      <c r="Z9" s="169" vm="28">
        <f ca="1"/>
        <v>44287</v>
      </c>
      <c r="AA9" s="169" vm="35">
        <f ca="1"/>
        <v>89.04</v>
      </c>
      <c r="AB9" s="4">
        <f t="shared" ca="1" si="6"/>
        <v>3.4146341463414775E-2</v>
      </c>
      <c r="AC9" s="10"/>
      <c r="AD9" s="169" vm="28">
        <f ca="1"/>
        <v>44287</v>
      </c>
      <c r="AE9" s="169" vm="36">
        <f ca="1"/>
        <v>2.82</v>
      </c>
      <c r="AF9" s="4">
        <f t="shared" ca="1" si="7"/>
        <v>7.2243346007604542E-2</v>
      </c>
      <c r="AG9" s="10"/>
      <c r="AI9" s="3" t="s">
        <v>27</v>
      </c>
      <c r="AK9" s="157" t="s">
        <v>81</v>
      </c>
      <c r="AL9" s="156" t="s">
        <v>82</v>
      </c>
      <c r="AM9" s="286"/>
      <c r="AN9" s="279"/>
      <c r="AO9" s="123" t="s">
        <v>40</v>
      </c>
    </row>
    <row r="10" spans="1:41" x14ac:dyDescent="0.3">
      <c r="A10">
        <v>4</v>
      </c>
      <c r="B10" s="169" vm="37">
        <f ca="1"/>
        <v>44317</v>
      </c>
      <c r="C10" s="169" vm="38">
        <f ca="1"/>
        <v>46.11</v>
      </c>
      <c r="D10" s="4">
        <f t="shared" ca="1" si="0"/>
        <v>-2.3300148273670863E-2</v>
      </c>
      <c r="E10" s="10"/>
      <c r="F10" s="169" vm="37">
        <f ca="1"/>
        <v>44317</v>
      </c>
      <c r="G10" s="169" vm="39">
        <f ca="1"/>
        <v>290.20999999999998</v>
      </c>
      <c r="H10" s="4">
        <f t="shared" ca="1" si="1"/>
        <v>7.0253724738161799E-2</v>
      </c>
      <c r="I10" s="10"/>
      <c r="J10" s="169" vm="37">
        <f ca="1"/>
        <v>44317</v>
      </c>
      <c r="K10" s="169" vm="40">
        <f ca="1"/>
        <v>132.65</v>
      </c>
      <c r="L10" s="4">
        <f t="shared" ca="1" si="2"/>
        <v>-6.2941508900819412E-2</v>
      </c>
      <c r="M10" s="10"/>
      <c r="N10" s="169" vm="37">
        <f ca="1"/>
        <v>44317</v>
      </c>
      <c r="O10" s="169" vm="41">
        <f ca="1"/>
        <v>10.88</v>
      </c>
      <c r="P10" s="4">
        <f t="shared" ca="1" si="3"/>
        <v>-6.1259706643658249E-2</v>
      </c>
      <c r="Q10" s="10"/>
      <c r="R10" s="169" vm="37">
        <f ca="1"/>
        <v>44317</v>
      </c>
      <c r="S10" s="169" vm="42">
        <f ca="1"/>
        <v>3.52</v>
      </c>
      <c r="T10" s="4">
        <f t="shared" ca="1" si="4"/>
        <v>3.8348082595870171E-2</v>
      </c>
      <c r="U10" s="10"/>
      <c r="V10" s="169" vm="37">
        <f ca="1"/>
        <v>44317</v>
      </c>
      <c r="W10" s="169" vm="43">
        <f ca="1"/>
        <v>5.21</v>
      </c>
      <c r="X10" s="4">
        <f t="shared" ca="1" si="5"/>
        <v>-5.4446460980036269E-2</v>
      </c>
      <c r="Y10" s="10"/>
      <c r="Z10" s="169" vm="37">
        <f ca="1"/>
        <v>44317</v>
      </c>
      <c r="AA10" s="169" vm="44">
        <f ca="1"/>
        <v>99.72</v>
      </c>
      <c r="AB10" s="4">
        <f t="shared" ca="1" si="6"/>
        <v>0.11994609164420476</v>
      </c>
      <c r="AC10" s="10"/>
      <c r="AD10" s="169" vm="37">
        <f ca="1"/>
        <v>44317</v>
      </c>
      <c r="AE10" s="169" vm="36">
        <f ca="1"/>
        <v>2.82</v>
      </c>
      <c r="AF10" s="4">
        <f t="shared" ca="1" si="7"/>
        <v>0</v>
      </c>
      <c r="AG10" s="10"/>
      <c r="AI10" s="3" t="s">
        <v>23</v>
      </c>
      <c r="AK10" s="147" t="s">
        <v>74</v>
      </c>
      <c r="AL10" s="148" t="s">
        <v>75</v>
      </c>
      <c r="AM10" s="287" t="s">
        <v>26</v>
      </c>
      <c r="AN10" s="281" t="s">
        <v>47</v>
      </c>
      <c r="AO10" s="124" t="s">
        <v>41</v>
      </c>
    </row>
    <row r="11" spans="1:41" x14ac:dyDescent="0.3">
      <c r="A11">
        <v>5</v>
      </c>
      <c r="B11" s="169" vm="45">
        <f ca="1"/>
        <v>44348</v>
      </c>
      <c r="C11" s="169" vm="46">
        <f ca="1"/>
        <v>58.72</v>
      </c>
      <c r="D11" s="4">
        <f t="shared" ca="1" si="0"/>
        <v>0.27347646931251357</v>
      </c>
      <c r="E11" s="10"/>
      <c r="F11" s="169" vm="45">
        <f ca="1"/>
        <v>44348</v>
      </c>
      <c r="G11" s="169" vm="47">
        <f ca="1"/>
        <v>285.19</v>
      </c>
      <c r="H11" s="4">
        <f t="shared" ca="1" si="1"/>
        <v>-1.7297818820853805E-2</v>
      </c>
      <c r="I11" s="10"/>
      <c r="J11" s="169" vm="45">
        <f ca="1"/>
        <v>44348</v>
      </c>
      <c r="K11" s="169" vm="48">
        <f ca="1"/>
        <v>137.1</v>
      </c>
      <c r="L11" s="4">
        <f t="shared" ca="1" si="2"/>
        <v>3.3546928006030818E-2</v>
      </c>
      <c r="M11" s="10"/>
      <c r="N11" s="169" vm="45">
        <f ca="1"/>
        <v>44348</v>
      </c>
      <c r="O11" s="169" vm="49">
        <f ca="1"/>
        <v>11.86</v>
      </c>
      <c r="P11" s="4">
        <f t="shared" ca="1" si="3"/>
        <v>9.007352941176458E-2</v>
      </c>
      <c r="Q11" s="10"/>
      <c r="R11" s="169" vm="45">
        <f ca="1"/>
        <v>44348</v>
      </c>
      <c r="S11" s="169" vm="50">
        <f ca="1"/>
        <v>3.76</v>
      </c>
      <c r="T11" s="4">
        <f t="shared" ca="1" si="4"/>
        <v>6.8181818181818121E-2</v>
      </c>
      <c r="U11" s="10"/>
      <c r="V11" s="169" vm="45">
        <f ca="1"/>
        <v>44348</v>
      </c>
      <c r="W11" s="169" vm="51">
        <f ca="1"/>
        <v>6.26</v>
      </c>
      <c r="X11" s="4">
        <f t="shared" ca="1" si="5"/>
        <v>0.20153550863723604</v>
      </c>
      <c r="Y11" s="10"/>
      <c r="Z11" s="169" vm="45">
        <f ca="1"/>
        <v>44348</v>
      </c>
      <c r="AA11" s="169" vm="52">
        <f ca="1"/>
        <v>99.87</v>
      </c>
      <c r="AB11" s="4">
        <f t="shared" ca="1" si="6"/>
        <v>1.5042117930205144E-3</v>
      </c>
      <c r="AC11" s="10"/>
      <c r="AD11" s="169" vm="45">
        <f ca="1"/>
        <v>44348</v>
      </c>
      <c r="AE11" s="169" vm="53">
        <f ca="1"/>
        <v>2.85</v>
      </c>
      <c r="AF11" s="4">
        <f t="shared" ca="1" si="7"/>
        <v>1.0638297872340514E-2</v>
      </c>
      <c r="AG11" s="10"/>
      <c r="AI11" s="3" t="s">
        <v>25</v>
      </c>
      <c r="AK11" s="147" t="s">
        <v>83</v>
      </c>
      <c r="AL11" s="156" t="s">
        <v>84</v>
      </c>
      <c r="AM11" s="288"/>
      <c r="AN11" s="281"/>
      <c r="AO11" s="124" t="s">
        <v>42</v>
      </c>
    </row>
    <row r="12" spans="1:41" x14ac:dyDescent="0.3">
      <c r="A12">
        <v>6</v>
      </c>
      <c r="B12" s="169" vm="54">
        <f ca="1"/>
        <v>44378</v>
      </c>
      <c r="C12" s="169" vm="55">
        <f ca="1"/>
        <v>57.98</v>
      </c>
      <c r="D12" s="4">
        <f t="shared" ca="1" si="0"/>
        <v>-1.2602179836512295E-2</v>
      </c>
      <c r="E12" s="10"/>
      <c r="F12" s="169" vm="54">
        <f ca="1"/>
        <v>44378</v>
      </c>
      <c r="G12" s="169" vm="56">
        <f ca="1"/>
        <v>288.91000000000003</v>
      </c>
      <c r="H12" s="4">
        <f t="shared" ca="1" si="1"/>
        <v>1.304393562186622E-2</v>
      </c>
      <c r="I12" s="10"/>
      <c r="J12" s="169" vm="54">
        <f ca="1"/>
        <v>44378</v>
      </c>
      <c r="K12" s="169" vm="57">
        <f ca="1"/>
        <v>140.28</v>
      </c>
      <c r="L12" s="4">
        <f t="shared" ca="1" si="2"/>
        <v>2.3194748358862195E-2</v>
      </c>
      <c r="M12" s="10"/>
      <c r="N12" s="169" vm="54">
        <f ca="1"/>
        <v>44378</v>
      </c>
      <c r="O12" s="169" vm="58">
        <f ca="1"/>
        <v>12.75</v>
      </c>
      <c r="P12" s="4">
        <f t="shared" ca="1" si="3"/>
        <v>7.5042158516020294E-2</v>
      </c>
      <c r="Q12" s="10"/>
      <c r="R12" s="169" vm="54">
        <f ca="1"/>
        <v>44378</v>
      </c>
      <c r="S12" s="169" vm="59">
        <f ca="1"/>
        <v>3.78</v>
      </c>
      <c r="T12" s="4">
        <f t="shared" ca="1" si="4"/>
        <v>5.3191489361702178E-3</v>
      </c>
      <c r="U12" s="10"/>
      <c r="V12" s="169" vm="54">
        <f ca="1"/>
        <v>44378</v>
      </c>
      <c r="W12" s="169" vm="60">
        <f ca="1"/>
        <v>6.18</v>
      </c>
      <c r="X12" s="4">
        <f t="shared" ca="1" si="5"/>
        <v>-1.2779552715654964E-2</v>
      </c>
      <c r="Y12" s="10"/>
      <c r="Z12" s="169" vm="54">
        <f ca="1"/>
        <v>44378</v>
      </c>
      <c r="AA12" s="169" vm="61">
        <f ca="1"/>
        <v>99.65</v>
      </c>
      <c r="AB12" s="4">
        <f t="shared" ca="1" si="6"/>
        <v>-2.2028637228396803E-3</v>
      </c>
      <c r="AC12" s="10"/>
      <c r="AD12" s="169" vm="54">
        <f ca="1"/>
        <v>44378</v>
      </c>
      <c r="AE12" s="169" vm="62">
        <f ca="1"/>
        <v>2.59</v>
      </c>
      <c r="AF12" s="4">
        <f t="shared" ca="1" si="7"/>
        <v>-9.1228070175438672E-2</v>
      </c>
      <c r="AG12" s="10"/>
      <c r="AI12" s="3" t="s">
        <v>24</v>
      </c>
      <c r="AK12" s="147" t="s">
        <v>63</v>
      </c>
      <c r="AL12" s="158" t="s">
        <v>76</v>
      </c>
      <c r="AM12" s="285" t="s">
        <v>20</v>
      </c>
      <c r="AN12" s="282" t="s">
        <v>48</v>
      </c>
      <c r="AO12" s="125" t="s">
        <v>43</v>
      </c>
    </row>
    <row r="13" spans="1:41" x14ac:dyDescent="0.3">
      <c r="A13">
        <v>7</v>
      </c>
      <c r="B13" s="169" vm="63">
        <f ca="1"/>
        <v>44409</v>
      </c>
      <c r="C13" s="169" vm="64">
        <f ca="1"/>
        <v>63.07</v>
      </c>
      <c r="D13" s="4">
        <f t="shared" ca="1" si="0"/>
        <v>8.7788892721628209E-2</v>
      </c>
      <c r="E13" s="10"/>
      <c r="F13" s="169" vm="63">
        <f ca="1"/>
        <v>44409</v>
      </c>
      <c r="G13" s="169" vm="65">
        <f ca="1"/>
        <v>311.94</v>
      </c>
      <c r="H13" s="4">
        <f t="shared" ca="1" si="1"/>
        <v>7.9713405558824446E-2</v>
      </c>
      <c r="I13" s="10"/>
      <c r="J13" s="169" vm="63">
        <f ca="1"/>
        <v>44409</v>
      </c>
      <c r="K13" s="169" vm="66">
        <f ca="1"/>
        <v>151.82</v>
      </c>
      <c r="L13" s="4">
        <f t="shared" ca="1" si="2"/>
        <v>8.2264043341887597E-2</v>
      </c>
      <c r="M13" s="10"/>
      <c r="N13" s="169" vm="63">
        <f ca="1"/>
        <v>44409</v>
      </c>
      <c r="O13" s="169" vm="67">
        <f ca="1"/>
        <v>13.24</v>
      </c>
      <c r="P13" s="4">
        <f t="shared" ca="1" si="3"/>
        <v>3.8431372549019627E-2</v>
      </c>
      <c r="Q13" s="10"/>
      <c r="R13" s="169" vm="63">
        <f ca="1"/>
        <v>44409</v>
      </c>
      <c r="S13" s="169" vm="68">
        <f ca="1"/>
        <v>3.84</v>
      </c>
      <c r="T13" s="4">
        <f t="shared" ca="1" si="4"/>
        <v>1.5873015873015889E-2</v>
      </c>
      <c r="U13" s="10"/>
      <c r="V13" s="169" vm="63">
        <f ca="1"/>
        <v>44409</v>
      </c>
      <c r="W13" s="169" vm="69">
        <f ca="1"/>
        <v>6.16</v>
      </c>
      <c r="X13" s="4">
        <f t="shared" ca="1" si="5"/>
        <v>-3.2362459546924878E-3</v>
      </c>
      <c r="Y13" s="10"/>
      <c r="Z13" s="169" vm="63">
        <f ca="1"/>
        <v>44409</v>
      </c>
      <c r="AA13" s="169" vm="70">
        <f ca="1"/>
        <v>100.12</v>
      </c>
      <c r="AB13" s="4">
        <f t="shared" ca="1" si="6"/>
        <v>4.7165077772202595E-3</v>
      </c>
      <c r="AC13" s="10"/>
      <c r="AD13" s="169" vm="63">
        <f ca="1"/>
        <v>44409</v>
      </c>
      <c r="AE13" s="169" vm="71">
        <f ca="1"/>
        <v>3.03</v>
      </c>
      <c r="AF13" s="4">
        <f t="shared" ca="1" si="7"/>
        <v>0.16988416988416988</v>
      </c>
      <c r="AG13" s="10"/>
      <c r="AI13" s="3" t="s">
        <v>31</v>
      </c>
      <c r="AK13" s="147" t="s">
        <v>85</v>
      </c>
      <c r="AL13" s="165" t="s">
        <v>86</v>
      </c>
      <c r="AM13" s="286"/>
      <c r="AN13" s="282"/>
      <c r="AO13" s="125" t="s">
        <v>44</v>
      </c>
    </row>
    <row r="14" spans="1:41" x14ac:dyDescent="0.3">
      <c r="A14">
        <v>8</v>
      </c>
      <c r="B14" s="169" vm="72">
        <f ca="1"/>
        <v>44440</v>
      </c>
      <c r="C14" s="169" vm="73">
        <f ca="1"/>
        <v>54.61</v>
      </c>
      <c r="D14" s="4">
        <f t="shared" ca="1" si="0"/>
        <v>-0.13413667353733949</v>
      </c>
      <c r="E14" s="10"/>
      <c r="F14" s="169" vm="72">
        <f ca="1"/>
        <v>44440</v>
      </c>
      <c r="G14" s="169" vm="74">
        <f ca="1"/>
        <v>293.39999999999998</v>
      </c>
      <c r="H14" s="4">
        <f t="shared" ca="1" si="1"/>
        <v>-5.9434506635891581E-2</v>
      </c>
      <c r="I14" s="10"/>
      <c r="J14" s="169" vm="72">
        <f ca="1"/>
        <v>44440</v>
      </c>
      <c r="K14" s="169" vm="75">
        <f ca="1"/>
        <v>139</v>
      </c>
      <c r="L14" s="4">
        <f t="shared" ca="1" si="2"/>
        <v>-8.4442102489790505E-2</v>
      </c>
      <c r="M14" s="10"/>
      <c r="N14" s="169" vm="72">
        <f ca="1"/>
        <v>44440</v>
      </c>
      <c r="O14" s="169" vm="76">
        <f ca="1"/>
        <v>12.03</v>
      </c>
      <c r="P14" s="4">
        <f t="shared" ca="1" si="3"/>
        <v>-9.1389728096676795E-2</v>
      </c>
      <c r="Q14" s="10"/>
      <c r="R14" s="169" vm="72">
        <f ca="1"/>
        <v>44440</v>
      </c>
      <c r="S14" s="169" vm="77">
        <f ca="1"/>
        <v>3.93</v>
      </c>
      <c r="T14" s="4">
        <f t="shared" ca="1" si="4"/>
        <v>2.343750000000008E-2</v>
      </c>
      <c r="U14" s="10"/>
      <c r="V14" s="169" vm="72">
        <f ca="1"/>
        <v>44440</v>
      </c>
      <c r="W14" s="169" vm="78">
        <f ca="1"/>
        <v>7.06</v>
      </c>
      <c r="X14" s="4">
        <f t="shared" ca="1" si="5"/>
        <v>0.14610389610389601</v>
      </c>
      <c r="Y14" s="10"/>
      <c r="Z14" s="169" vm="72">
        <f ca="1"/>
        <v>44440</v>
      </c>
      <c r="AA14" s="169" vm="79">
        <f ca="1"/>
        <v>104.33</v>
      </c>
      <c r="AB14" s="4">
        <f t="shared" ca="1" si="6"/>
        <v>4.2049540551338332E-2</v>
      </c>
      <c r="AC14" s="10"/>
      <c r="AD14" s="169" vm="72">
        <f ca="1"/>
        <v>44440</v>
      </c>
      <c r="AE14" s="169" vm="80">
        <f ca="1"/>
        <v>2.77</v>
      </c>
      <c r="AF14" s="4">
        <f t="shared" ca="1" si="7"/>
        <v>-8.5808580858085751E-2</v>
      </c>
      <c r="AG14" s="10"/>
      <c r="AI14" s="3"/>
    </row>
    <row r="15" spans="1:41" x14ac:dyDescent="0.3">
      <c r="A15">
        <v>9</v>
      </c>
      <c r="B15" s="169" vm="81">
        <f ca="1"/>
        <v>44470</v>
      </c>
      <c r="C15" s="169" vm="82">
        <f ca="1"/>
        <v>53.28</v>
      </c>
      <c r="D15" s="4">
        <f t="shared" ca="1" si="0"/>
        <v>-2.4354513825306689E-2</v>
      </c>
      <c r="E15" s="10"/>
      <c r="F15" s="169" vm="81">
        <f ca="1"/>
        <v>44470</v>
      </c>
      <c r="G15" s="169" vm="83">
        <f ca="1"/>
        <v>300.49</v>
      </c>
      <c r="H15" s="4">
        <f t="shared" ca="1" si="1"/>
        <v>2.4164962508520901E-2</v>
      </c>
      <c r="I15" s="10"/>
      <c r="J15" s="169" vm="81">
        <f ca="1"/>
        <v>44470</v>
      </c>
      <c r="K15" s="169" vm="84">
        <f ca="1"/>
        <v>149.51</v>
      </c>
      <c r="L15" s="4">
        <f t="shared" ca="1" si="2"/>
        <v>7.561151079136684E-2</v>
      </c>
      <c r="M15" s="10"/>
      <c r="N15" s="169" vm="81">
        <f ca="1"/>
        <v>44470</v>
      </c>
      <c r="O15" s="169" vm="85">
        <f ca="1"/>
        <v>11.74</v>
      </c>
      <c r="P15" s="4">
        <f t="shared" ca="1" si="3"/>
        <v>-2.4106400665004087E-2</v>
      </c>
      <c r="Q15" s="10"/>
      <c r="R15" s="169" vm="81">
        <f ca="1"/>
        <v>44470</v>
      </c>
      <c r="S15" s="169" vm="86">
        <f ca="1"/>
        <v>3.82</v>
      </c>
      <c r="T15" s="4">
        <f t="shared" ca="1" si="4"/>
        <v>-2.7989821882951734E-2</v>
      </c>
      <c r="U15" s="10"/>
      <c r="V15" s="169" vm="81">
        <f ca="1"/>
        <v>44470</v>
      </c>
      <c r="W15" s="169" vm="87">
        <f ca="1"/>
        <v>6.75</v>
      </c>
      <c r="X15" s="4">
        <f t="shared" ca="1" si="5"/>
        <v>-4.3909348441926295E-2</v>
      </c>
      <c r="Y15" s="10"/>
      <c r="Z15" s="169" vm="81">
        <f ca="1"/>
        <v>44470</v>
      </c>
      <c r="AA15" s="169" vm="88">
        <f ca="1"/>
        <v>104.68</v>
      </c>
      <c r="AB15" s="4">
        <f t="shared" ca="1" si="6"/>
        <v>3.3547397680437894E-3</v>
      </c>
      <c r="AC15" s="10"/>
      <c r="AD15" s="169" vm="81">
        <f ca="1"/>
        <v>44470</v>
      </c>
      <c r="AE15" s="169" vm="27">
        <f ca="1"/>
        <v>2.63</v>
      </c>
      <c r="AF15" s="4">
        <f t="shared" ca="1" si="7"/>
        <v>-5.054151624548741E-2</v>
      </c>
      <c r="AG15" s="10"/>
      <c r="AI15" s="3" t="s">
        <v>28</v>
      </c>
    </row>
    <row r="16" spans="1:41" x14ac:dyDescent="0.3">
      <c r="A16">
        <v>10</v>
      </c>
      <c r="B16" s="169" vm="89">
        <f ca="1"/>
        <v>44501</v>
      </c>
      <c r="C16" s="169" vm="90">
        <f ca="1"/>
        <v>62.48</v>
      </c>
      <c r="D16" s="4">
        <f t="shared" ca="1" si="0"/>
        <v>0.17267267267267258</v>
      </c>
      <c r="E16" s="10"/>
      <c r="F16" s="169" vm="89">
        <f ca="1"/>
        <v>44501</v>
      </c>
      <c r="G16" s="169" vm="91">
        <f ca="1"/>
        <v>306.79000000000002</v>
      </c>
      <c r="H16" s="4">
        <f t="shared" ca="1" si="1"/>
        <v>2.0965755931977807E-2</v>
      </c>
      <c r="I16" s="10"/>
      <c r="J16" s="169" vm="89">
        <f ca="1"/>
        <v>44501</v>
      </c>
      <c r="K16" s="169" vm="92">
        <f ca="1"/>
        <v>144.84</v>
      </c>
      <c r="L16" s="4">
        <f t="shared" ca="1" si="2"/>
        <v>-3.1235368871647299E-2</v>
      </c>
      <c r="M16" s="10"/>
      <c r="N16" s="169" vm="89">
        <f ca="1"/>
        <v>44501</v>
      </c>
      <c r="O16" s="169" vm="93">
        <f ca="1"/>
        <v>12.1</v>
      </c>
      <c r="P16" s="4">
        <f t="shared" ca="1" si="3"/>
        <v>3.0664395229982915E-2</v>
      </c>
      <c r="Q16" s="10"/>
      <c r="R16" s="169" vm="89">
        <f ca="1"/>
        <v>44501</v>
      </c>
      <c r="S16" s="169" vm="94">
        <f ca="1"/>
        <v>4.07</v>
      </c>
      <c r="T16" s="4">
        <f t="shared" ca="1" si="4"/>
        <v>6.5445026178010596E-2</v>
      </c>
      <c r="U16" s="10"/>
      <c r="V16" s="169" vm="89">
        <f ca="1"/>
        <v>44501</v>
      </c>
      <c r="W16" s="169" vm="87">
        <f ca="1"/>
        <v>6.75</v>
      </c>
      <c r="X16" s="4">
        <f t="shared" ca="1" si="5"/>
        <v>0</v>
      </c>
      <c r="Y16" s="10"/>
      <c r="Z16" s="169" vm="89">
        <f ca="1"/>
        <v>44501</v>
      </c>
      <c r="AA16" s="169" vm="95">
        <f ca="1"/>
        <v>93.18</v>
      </c>
      <c r="AB16" s="4">
        <f t="shared" ca="1" si="6"/>
        <v>-0.10985861673672143</v>
      </c>
      <c r="AC16" s="10"/>
      <c r="AD16" s="169" vm="89">
        <f ca="1"/>
        <v>44501</v>
      </c>
      <c r="AE16" s="169" vm="96">
        <f ca="1"/>
        <v>2.7</v>
      </c>
      <c r="AF16" s="4">
        <f t="shared" ca="1" si="7"/>
        <v>2.6615969581749159E-2</v>
      </c>
      <c r="AG16" s="10"/>
    </row>
    <row r="17" spans="1:38" x14ac:dyDescent="0.3">
      <c r="A17">
        <v>11</v>
      </c>
      <c r="B17" s="169" vm="97">
        <f ca="1"/>
        <v>44531</v>
      </c>
      <c r="C17" s="169" vm="98">
        <f ca="1"/>
        <v>62.44</v>
      </c>
      <c r="D17" s="4">
        <f t="shared" ca="1" si="0"/>
        <v>-6.4020486555696466E-4</v>
      </c>
      <c r="E17" s="10"/>
      <c r="F17" s="169" vm="97">
        <f ca="1"/>
        <v>44531</v>
      </c>
      <c r="G17" s="169" vm="99">
        <f ca="1"/>
        <v>290.72000000000003</v>
      </c>
      <c r="H17" s="4">
        <f t="shared" ca="1" si="1"/>
        <v>-5.2381107598031204E-2</v>
      </c>
      <c r="I17" s="10"/>
      <c r="J17" s="169" vm="97">
        <f ca="1"/>
        <v>44531</v>
      </c>
      <c r="K17" s="169" vm="100">
        <f ca="1"/>
        <v>141.44</v>
      </c>
      <c r="L17" s="4">
        <f t="shared" ca="1" si="2"/>
        <v>-2.3474178403755909E-2</v>
      </c>
      <c r="M17" s="10"/>
      <c r="N17" s="169" vm="97">
        <f ca="1"/>
        <v>44531</v>
      </c>
      <c r="O17" s="169" vm="101">
        <f ca="1"/>
        <v>12.79</v>
      </c>
      <c r="P17" s="4">
        <f t="shared" ca="1" si="3"/>
        <v>5.7024793388429709E-2</v>
      </c>
      <c r="Q17" s="10"/>
      <c r="R17" s="169" vm="97">
        <f ca="1"/>
        <v>44531</v>
      </c>
      <c r="S17" s="169" vm="102">
        <f ca="1"/>
        <v>4.18</v>
      </c>
      <c r="T17" s="4">
        <f t="shared" ca="1" si="4"/>
        <v>2.7027027027026886E-2</v>
      </c>
      <c r="U17" s="10"/>
      <c r="V17" s="169" vm="97">
        <f ca="1"/>
        <v>44531</v>
      </c>
      <c r="W17" s="169" vm="103">
        <f ca="1"/>
        <v>5.89</v>
      </c>
      <c r="X17" s="4">
        <f t="shared" ca="1" si="5"/>
        <v>-0.12740740740740744</v>
      </c>
      <c r="Y17" s="10"/>
      <c r="Z17" s="169" vm="97">
        <f ca="1"/>
        <v>44531</v>
      </c>
      <c r="AA17" s="169" vm="104">
        <f ca="1"/>
        <v>101</v>
      </c>
      <c r="AB17" s="4">
        <f t="shared" ca="1" si="6"/>
        <v>8.3923588752951195E-2</v>
      </c>
      <c r="AC17" s="10"/>
      <c r="AD17" s="169" vm="97">
        <f ca="1"/>
        <v>44531</v>
      </c>
      <c r="AE17" s="169" vm="96">
        <f ca="1"/>
        <v>2.7</v>
      </c>
      <c r="AF17" s="4">
        <f t="shared" ca="1" si="7"/>
        <v>0</v>
      </c>
      <c r="AG17" s="10"/>
      <c r="AI17" s="3" t="s">
        <v>77</v>
      </c>
    </row>
    <row r="18" spans="1:38" x14ac:dyDescent="0.3">
      <c r="A18">
        <v>12</v>
      </c>
      <c r="B18" s="169" vm="105">
        <f ca="1"/>
        <v>44562</v>
      </c>
      <c r="C18" s="169" vm="106">
        <f ca="1"/>
        <v>45.1</v>
      </c>
      <c r="D18" s="4">
        <f t="shared" ca="1" si="0"/>
        <v>-0.27770659833440098</v>
      </c>
      <c r="E18" s="10"/>
      <c r="F18" s="169" vm="105">
        <f ca="1"/>
        <v>44562</v>
      </c>
      <c r="G18" s="169" vm="107">
        <f ca="1"/>
        <v>260.35000000000002</v>
      </c>
      <c r="H18" s="4">
        <f t="shared" ca="1" si="1"/>
        <v>-0.10446477710511834</v>
      </c>
      <c r="I18" s="10"/>
      <c r="J18" s="169" vm="105">
        <f ca="1"/>
        <v>44562</v>
      </c>
      <c r="K18" s="169" vm="108">
        <f ca="1"/>
        <v>112.91</v>
      </c>
      <c r="L18" s="4">
        <f t="shared" ca="1" si="2"/>
        <v>-0.20171097285067874</v>
      </c>
      <c r="M18" s="10"/>
      <c r="N18" s="169" vm="105">
        <f ca="1"/>
        <v>44562</v>
      </c>
      <c r="O18" s="169" vm="109">
        <f ca="1"/>
        <v>10.67</v>
      </c>
      <c r="P18" s="4">
        <f t="shared" ca="1" si="3"/>
        <v>-0.16575449569976539</v>
      </c>
      <c r="Q18" s="10"/>
      <c r="R18" s="169" vm="105">
        <f ca="1"/>
        <v>44562</v>
      </c>
      <c r="S18" s="169" vm="110">
        <f ca="1"/>
        <v>3.92</v>
      </c>
      <c r="T18" s="4">
        <f t="shared" ca="1" si="4"/>
        <v>-6.2200956937798993E-2</v>
      </c>
      <c r="U18" s="10"/>
      <c r="V18" s="169" vm="105">
        <f ca="1"/>
        <v>44562</v>
      </c>
      <c r="W18" s="169" vm="111">
        <f ca="1"/>
        <v>5.9</v>
      </c>
      <c r="X18" s="4">
        <f t="shared" ca="1" si="5"/>
        <v>1.6977928692700638E-3</v>
      </c>
      <c r="Y18" s="10"/>
      <c r="Z18" s="169" vm="105">
        <f ca="1"/>
        <v>44562</v>
      </c>
      <c r="AA18" s="169" vm="112">
        <f ca="1"/>
        <v>93.74</v>
      </c>
      <c r="AB18" s="4">
        <f t="shared" ca="1" si="6"/>
        <v>-7.1881188118811931E-2</v>
      </c>
      <c r="AC18" s="10"/>
      <c r="AD18" s="169" vm="105">
        <f ca="1"/>
        <v>44562</v>
      </c>
      <c r="AE18" s="169" vm="113">
        <f ca="1"/>
        <v>2.2000000000000002</v>
      </c>
      <c r="AF18" s="4">
        <f t="shared" ca="1" si="7"/>
        <v>-0.18518518518518517</v>
      </c>
      <c r="AG18" s="10"/>
    </row>
    <row r="19" spans="1:38" x14ac:dyDescent="0.3">
      <c r="A19">
        <v>13</v>
      </c>
      <c r="B19" s="169" vm="114">
        <f ca="1"/>
        <v>44593</v>
      </c>
      <c r="C19" s="169" vm="115">
        <f ca="1"/>
        <v>46.73</v>
      </c>
      <c r="D19" s="4">
        <f t="shared" ca="1" si="0"/>
        <v>3.6141906873614085E-2</v>
      </c>
      <c r="E19" s="10"/>
      <c r="F19" s="169" vm="114">
        <f ca="1"/>
        <v>44593</v>
      </c>
      <c r="G19" s="169" vm="116">
        <f ca="1"/>
        <v>259.98</v>
      </c>
      <c r="H19" s="4">
        <f t="shared" ca="1" si="1"/>
        <v>-1.4211638179374092E-3</v>
      </c>
      <c r="I19" s="10"/>
      <c r="J19" s="169" vm="114">
        <f ca="1"/>
        <v>44593</v>
      </c>
      <c r="K19" s="169" vm="117">
        <f ca="1"/>
        <v>93.73</v>
      </c>
      <c r="L19" s="4">
        <f t="shared" ca="1" si="2"/>
        <v>-0.16986980781153124</v>
      </c>
      <c r="M19" s="10"/>
      <c r="N19" s="169" vm="114">
        <f ca="1"/>
        <v>44593</v>
      </c>
      <c r="O19" s="169" vm="118">
        <f ca="1"/>
        <v>10.63</v>
      </c>
      <c r="P19" s="4">
        <f t="shared" ca="1" si="3"/>
        <v>-3.7488284910964526E-3</v>
      </c>
      <c r="Q19" s="10"/>
      <c r="R19" s="169" vm="114">
        <f ca="1"/>
        <v>44593</v>
      </c>
      <c r="S19" s="169" vm="119">
        <f ca="1"/>
        <v>3.96</v>
      </c>
      <c r="T19" s="4">
        <f t="shared" ca="1" si="4"/>
        <v>1.0204081632653071E-2</v>
      </c>
      <c r="U19" s="10"/>
      <c r="V19" s="169" vm="114">
        <f ca="1"/>
        <v>44593</v>
      </c>
      <c r="W19" s="169" vm="120">
        <f ca="1"/>
        <v>5.59</v>
      </c>
      <c r="X19" s="4">
        <f t="shared" ca="1" si="5"/>
        <v>-5.2542372881356013E-2</v>
      </c>
      <c r="Y19" s="10"/>
      <c r="Z19" s="169" vm="114">
        <f ca="1"/>
        <v>44593</v>
      </c>
      <c r="AA19" s="169" vm="121">
        <f ca="1"/>
        <v>93.46</v>
      </c>
      <c r="AB19" s="4">
        <f t="shared" ca="1" si="6"/>
        <v>-2.9869852784297113E-3</v>
      </c>
      <c r="AC19" s="10"/>
      <c r="AD19" s="169" vm="114">
        <f ca="1"/>
        <v>44593</v>
      </c>
      <c r="AE19" s="169" vm="122">
        <f ca="1"/>
        <v>2.21</v>
      </c>
      <c r="AF19" s="4">
        <f t="shared" ca="1" si="7"/>
        <v>4.5454545454544481E-3</v>
      </c>
      <c r="AG19" s="10"/>
    </row>
    <row r="20" spans="1:38" x14ac:dyDescent="0.3">
      <c r="A20">
        <v>14</v>
      </c>
      <c r="B20" s="169" vm="123">
        <f ca="1"/>
        <v>44621</v>
      </c>
      <c r="C20" s="169" vm="124">
        <f ca="1"/>
        <v>48.99</v>
      </c>
      <c r="D20" s="4">
        <f t="shared" ca="1" si="0"/>
        <v>4.8362936015407774E-2</v>
      </c>
      <c r="E20" s="10"/>
      <c r="F20" s="169" vm="123">
        <f ca="1"/>
        <v>44621</v>
      </c>
      <c r="G20" s="169" vm="125">
        <f ca="1"/>
        <v>268.14999999999998</v>
      </c>
      <c r="H20" s="4">
        <f t="shared" ca="1" si="1"/>
        <v>3.1425494268789746E-2</v>
      </c>
      <c r="I20" s="10"/>
      <c r="J20" s="169" vm="123">
        <f ca="1"/>
        <v>44621</v>
      </c>
      <c r="K20" s="169" vm="126">
        <f ca="1"/>
        <v>102.75</v>
      </c>
      <c r="L20" s="4">
        <f t="shared" ca="1" si="2"/>
        <v>9.6233863224154434E-2</v>
      </c>
      <c r="M20" s="10"/>
      <c r="N20" s="169" vm="123">
        <f ca="1"/>
        <v>44621</v>
      </c>
      <c r="O20" s="169" vm="127">
        <f ca="1"/>
        <v>11.66</v>
      </c>
      <c r="P20" s="4">
        <f t="shared" ca="1" si="3"/>
        <v>9.6895578551269929E-2</v>
      </c>
      <c r="Q20" s="10"/>
      <c r="R20" s="169" vm="123">
        <f ca="1"/>
        <v>44621</v>
      </c>
      <c r="S20" s="169" vm="119">
        <f ca="1"/>
        <v>3.96</v>
      </c>
      <c r="T20" s="4">
        <f t="shared" ca="1" si="4"/>
        <v>0</v>
      </c>
      <c r="U20" s="10"/>
      <c r="V20" s="169" vm="123">
        <f ca="1"/>
        <v>44621</v>
      </c>
      <c r="W20" s="169" vm="128">
        <f ca="1"/>
        <v>6.05</v>
      </c>
      <c r="X20" s="4">
        <f t="shared" ca="1" si="5"/>
        <v>8.2289803220035776E-2</v>
      </c>
      <c r="Y20" s="10"/>
      <c r="Z20" s="169" vm="123">
        <f ca="1"/>
        <v>44621</v>
      </c>
      <c r="AA20" s="169" vm="129">
        <f ca="1"/>
        <v>105.77</v>
      </c>
      <c r="AB20" s="4">
        <f t="shared" ca="1" si="6"/>
        <v>0.13171410228974967</v>
      </c>
      <c r="AC20" s="10"/>
      <c r="AD20" s="169" vm="123">
        <f ca="1"/>
        <v>44621</v>
      </c>
      <c r="AE20" s="169" vm="130">
        <f ca="1"/>
        <v>2.15</v>
      </c>
      <c r="AF20" s="4">
        <f t="shared" ca="1" si="7"/>
        <v>-2.7149321266968351E-2</v>
      </c>
      <c r="AG20" s="10"/>
    </row>
    <row r="21" spans="1:38" x14ac:dyDescent="0.3">
      <c r="A21">
        <v>15</v>
      </c>
      <c r="B21" s="169" vm="131">
        <f ca="1"/>
        <v>44652</v>
      </c>
      <c r="C21" s="169" vm="132">
        <f ca="1"/>
        <v>47.48</v>
      </c>
      <c r="D21" s="4">
        <f t="shared" ca="1" si="0"/>
        <v>-3.0822616860583896E-2</v>
      </c>
      <c r="E21" s="10"/>
      <c r="F21" s="169" vm="131">
        <f ca="1"/>
        <v>44652</v>
      </c>
      <c r="G21" s="169" vm="133">
        <f ca="1"/>
        <v>273.3</v>
      </c>
      <c r="H21" s="4">
        <f t="shared" ca="1" si="1"/>
        <v>1.9205668469140534E-2</v>
      </c>
      <c r="I21" s="10"/>
      <c r="J21" s="169" vm="131">
        <f ca="1"/>
        <v>44652</v>
      </c>
      <c r="K21" s="169" vm="134">
        <f ca="1"/>
        <v>96.35</v>
      </c>
      <c r="L21" s="4">
        <f t="shared" ca="1" si="2"/>
        <v>-6.2287104622871105E-2</v>
      </c>
      <c r="M21" s="10"/>
      <c r="N21" s="169" vm="131">
        <f ca="1"/>
        <v>44652</v>
      </c>
      <c r="O21" s="169" vm="135">
        <f ca="1"/>
        <v>11.28</v>
      </c>
      <c r="P21" s="4">
        <f t="shared" ca="1" si="3"/>
        <v>-3.2590051457976055E-2</v>
      </c>
      <c r="Q21" s="10"/>
      <c r="R21" s="169" vm="131">
        <f ca="1"/>
        <v>44652</v>
      </c>
      <c r="S21" s="169" vm="136">
        <f ca="1"/>
        <v>4.04</v>
      </c>
      <c r="T21" s="4">
        <f t="shared" ca="1" si="4"/>
        <v>2.0202020202020221E-2</v>
      </c>
      <c r="U21" s="10"/>
      <c r="V21" s="169" vm="131">
        <f ca="1"/>
        <v>44652</v>
      </c>
      <c r="W21" s="169" vm="137">
        <f ca="1"/>
        <v>5.88</v>
      </c>
      <c r="X21" s="4">
        <f t="shared" ca="1" si="5"/>
        <v>-2.8099173553718996E-2</v>
      </c>
      <c r="Y21" s="10"/>
      <c r="Z21" s="169" vm="131">
        <f ca="1"/>
        <v>44652</v>
      </c>
      <c r="AA21" s="169" vm="138">
        <f ca="1"/>
        <v>103.88</v>
      </c>
      <c r="AB21" s="4">
        <f t="shared" ca="1" si="6"/>
        <v>-1.7868960953011256E-2</v>
      </c>
      <c r="AC21" s="10"/>
      <c r="AD21" s="169" vm="131">
        <f ca="1"/>
        <v>44652</v>
      </c>
      <c r="AE21" s="169" vm="139">
        <f ca="1"/>
        <v>2.04</v>
      </c>
      <c r="AF21" s="4">
        <f t="shared" ca="1" si="7"/>
        <v>-5.1162790697674362E-2</v>
      </c>
      <c r="AG21" s="10"/>
      <c r="AI21" s="1"/>
    </row>
    <row r="22" spans="1:38" x14ac:dyDescent="0.3">
      <c r="A22">
        <v>16</v>
      </c>
      <c r="B22" s="169" vm="140">
        <f ca="1"/>
        <v>44682</v>
      </c>
      <c r="C22" s="169" vm="141">
        <f ca="1"/>
        <v>42.13</v>
      </c>
      <c r="D22" s="4">
        <f t="shared" ca="1" si="0"/>
        <v>-0.11267902274641943</v>
      </c>
      <c r="E22" s="10"/>
      <c r="F22" s="169" vm="140">
        <f ca="1"/>
        <v>44682</v>
      </c>
      <c r="G22" s="169" vm="142">
        <f ca="1"/>
        <v>271.83</v>
      </c>
      <c r="H22" s="4">
        <f t="shared" ca="1" si="1"/>
        <v>-5.3787047200879153E-3</v>
      </c>
      <c r="I22" s="10"/>
      <c r="J22" s="169" vm="140">
        <f ca="1"/>
        <v>44682</v>
      </c>
      <c r="K22" s="169" vm="143">
        <f ca="1"/>
        <v>89.29</v>
      </c>
      <c r="L22" s="4">
        <f t="shared" ca="1" si="2"/>
        <v>-7.3274519979242225E-2</v>
      </c>
      <c r="M22" s="10"/>
      <c r="N22" s="169" vm="140">
        <f ca="1"/>
        <v>44682</v>
      </c>
      <c r="O22" s="169" vm="144">
        <f ca="1"/>
        <v>11.01</v>
      </c>
      <c r="P22" s="4">
        <f t="shared" ca="1" si="3"/>
        <v>-2.3936170212765923E-2</v>
      </c>
      <c r="Q22" s="10"/>
      <c r="R22" s="169" vm="140">
        <f ca="1"/>
        <v>44682</v>
      </c>
      <c r="S22" s="169" vm="145">
        <f ca="1"/>
        <v>3.88</v>
      </c>
      <c r="T22" s="4">
        <f t="shared" ca="1" si="4"/>
        <v>-3.9603960396039639E-2</v>
      </c>
      <c r="U22" s="10"/>
      <c r="V22" s="169" vm="140">
        <f ca="1"/>
        <v>44682</v>
      </c>
      <c r="W22" s="169" vm="146">
        <f ca="1"/>
        <v>5.75</v>
      </c>
      <c r="X22" s="4">
        <f t="shared" ca="1" si="5"/>
        <v>-2.2108843537414949E-2</v>
      </c>
      <c r="Y22" s="10"/>
      <c r="Z22" s="169" vm="140">
        <f ca="1"/>
        <v>44682</v>
      </c>
      <c r="AA22" s="169" vm="147">
        <f ca="1"/>
        <v>104.36</v>
      </c>
      <c r="AB22" s="4">
        <f t="shared" ca="1" si="6"/>
        <v>4.6207162110127459E-3</v>
      </c>
      <c r="AC22" s="10"/>
      <c r="AD22" s="169" vm="140">
        <f ca="1"/>
        <v>44682</v>
      </c>
      <c r="AE22" s="169" vm="148">
        <f ca="1"/>
        <v>1.89</v>
      </c>
      <c r="AF22" s="4">
        <f t="shared" ca="1" si="7"/>
        <v>-7.352941176470594E-2</v>
      </c>
      <c r="AG22" s="10"/>
      <c r="AI22" s="13"/>
      <c r="AL22" s="172"/>
    </row>
    <row r="23" spans="1:38" x14ac:dyDescent="0.3">
      <c r="A23">
        <v>17</v>
      </c>
      <c r="B23" s="169" vm="149">
        <f ca="1"/>
        <v>44713</v>
      </c>
      <c r="C23" s="169" vm="150">
        <f ca="1"/>
        <v>42.25</v>
      </c>
      <c r="D23" s="4">
        <f t="shared" ca="1" si="0"/>
        <v>2.8483266081176699E-3</v>
      </c>
      <c r="E23" s="10"/>
      <c r="F23" s="169" vm="149">
        <f ca="1"/>
        <v>44713</v>
      </c>
      <c r="G23" s="169" vm="151">
        <f ca="1"/>
        <v>269.06</v>
      </c>
      <c r="H23" s="4">
        <f t="shared" ca="1" si="1"/>
        <v>-1.0190192399661487E-2</v>
      </c>
      <c r="I23" s="10"/>
      <c r="J23" s="169" vm="149">
        <f ca="1"/>
        <v>44713</v>
      </c>
      <c r="K23" s="169" vm="152">
        <f ca="1"/>
        <v>76.959999999999994</v>
      </c>
      <c r="L23" s="4">
        <f t="shared" ca="1" si="2"/>
        <v>-0.13808937171015803</v>
      </c>
      <c r="M23" s="10"/>
      <c r="N23" s="169" vm="149">
        <f ca="1"/>
        <v>44713</v>
      </c>
      <c r="O23" s="169" vm="153">
        <f ca="1"/>
        <v>10.64</v>
      </c>
      <c r="P23" s="4">
        <f t="shared" ca="1" si="3"/>
        <v>-3.3605812897365958E-2</v>
      </c>
      <c r="Q23" s="10"/>
      <c r="R23" s="169" vm="149">
        <f ca="1"/>
        <v>44713</v>
      </c>
      <c r="S23" s="169" vm="154">
        <f ca="1"/>
        <v>3.85</v>
      </c>
      <c r="T23" s="4">
        <f t="shared" ca="1" si="4"/>
        <v>-7.7319587628865479E-3</v>
      </c>
      <c r="U23" s="10"/>
      <c r="V23" s="169" vm="149">
        <f ca="1"/>
        <v>44713</v>
      </c>
      <c r="W23" s="169" vm="155">
        <f ca="1"/>
        <v>5.97</v>
      </c>
      <c r="X23" s="4">
        <f t="shared" ca="1" si="5"/>
        <v>3.8260869565217348E-2</v>
      </c>
      <c r="Y23" s="10"/>
      <c r="Z23" s="169" vm="149">
        <f ca="1"/>
        <v>44713</v>
      </c>
      <c r="AA23" s="169" vm="156">
        <f ca="1"/>
        <v>90.38</v>
      </c>
      <c r="AB23" s="4">
        <f t="shared" ca="1" si="6"/>
        <v>-0.13395937140666925</v>
      </c>
      <c r="AC23" s="10"/>
      <c r="AD23" s="169" vm="149">
        <f ca="1"/>
        <v>44713</v>
      </c>
      <c r="AE23" s="169" vm="157">
        <f ca="1"/>
        <v>1.51</v>
      </c>
      <c r="AF23" s="4">
        <f t="shared" ca="1" si="7"/>
        <v>-0.20105820105820102</v>
      </c>
      <c r="AG23" s="10"/>
      <c r="AI23" s="13"/>
    </row>
    <row r="24" spans="1:38" x14ac:dyDescent="0.3">
      <c r="A24">
        <v>18</v>
      </c>
      <c r="B24" s="169" vm="158">
        <f ca="1"/>
        <v>44743</v>
      </c>
      <c r="C24" s="169" vm="159">
        <f ca="1"/>
        <v>49.54</v>
      </c>
      <c r="D24" s="4">
        <f t="shared" ca="1" si="0"/>
        <v>0.17254437869822484</v>
      </c>
      <c r="E24" s="10"/>
      <c r="F24" s="169" vm="158">
        <f ca="1"/>
        <v>44743</v>
      </c>
      <c r="G24" s="169" vm="160">
        <f ca="1"/>
        <v>289.83999999999997</v>
      </c>
      <c r="H24" s="4">
        <f t="shared" ca="1" si="1"/>
        <v>7.7231844198319979E-2</v>
      </c>
      <c r="I24" s="10"/>
      <c r="J24" s="169" vm="158">
        <f ca="1"/>
        <v>44743</v>
      </c>
      <c r="K24" s="169" vm="161">
        <f ca="1"/>
        <v>92.99</v>
      </c>
      <c r="L24" s="4">
        <f t="shared" ca="1" si="2"/>
        <v>0.20829002079002082</v>
      </c>
      <c r="M24" s="10"/>
      <c r="N24" s="169" vm="158">
        <f ca="1"/>
        <v>44743</v>
      </c>
      <c r="O24" s="169" vm="162">
        <f ca="1"/>
        <v>11.78</v>
      </c>
      <c r="P24" s="4">
        <f t="shared" ca="1" si="3"/>
        <v>0.10714285714285703</v>
      </c>
      <c r="Q24" s="10"/>
      <c r="R24" s="169" vm="158">
        <f ca="1"/>
        <v>44743</v>
      </c>
      <c r="S24" s="169" vm="163">
        <f ca="1"/>
        <v>3.89</v>
      </c>
      <c r="T24" s="4">
        <f t="shared" ca="1" si="4"/>
        <v>1.0389610389610398E-2</v>
      </c>
      <c r="U24" s="10"/>
      <c r="V24" s="169" vm="158">
        <f ca="1"/>
        <v>44743</v>
      </c>
      <c r="W24" s="169" vm="164">
        <f ca="1"/>
        <v>6.34</v>
      </c>
      <c r="X24" s="4">
        <f t="shared" ca="1" si="5"/>
        <v>6.1976549413735364E-2</v>
      </c>
      <c r="Y24" s="10"/>
      <c r="Z24" s="169" vm="158">
        <f ca="1"/>
        <v>44743</v>
      </c>
      <c r="AA24" s="169" vm="165">
        <f ca="1"/>
        <v>100.77</v>
      </c>
      <c r="AB24" s="4">
        <f t="shared" ca="1" si="6"/>
        <v>0.11495906173932287</v>
      </c>
      <c r="AC24" s="10"/>
      <c r="AD24" s="169" vm="158">
        <f ca="1"/>
        <v>44743</v>
      </c>
      <c r="AE24" s="169" vm="148">
        <f ca="1"/>
        <v>1.89</v>
      </c>
      <c r="AF24" s="4">
        <f t="shared" ca="1" si="7"/>
        <v>0.2516556291390728</v>
      </c>
      <c r="AG24" s="10"/>
      <c r="AI24" s="13"/>
    </row>
    <row r="25" spans="1:38" x14ac:dyDescent="0.3">
      <c r="A25">
        <v>19</v>
      </c>
      <c r="B25" s="169" vm="166">
        <f ca="1"/>
        <v>44774</v>
      </c>
      <c r="C25" s="169" vm="167">
        <f ca="1"/>
        <v>54.48</v>
      </c>
      <c r="D25" s="4">
        <f t="shared" ca="1" si="0"/>
        <v>9.9717400080742785E-2</v>
      </c>
      <c r="E25" s="10"/>
      <c r="F25" s="169" vm="166">
        <f ca="1"/>
        <v>44774</v>
      </c>
      <c r="G25" s="169" vm="168">
        <f ca="1"/>
        <v>293.54000000000002</v>
      </c>
      <c r="H25" s="4">
        <f t="shared" ca="1" si="1"/>
        <v>1.2765663814518513E-2</v>
      </c>
      <c r="I25" s="10"/>
      <c r="J25" s="169" vm="166">
        <f ca="1"/>
        <v>44774</v>
      </c>
      <c r="K25" s="169" vm="169">
        <f ca="1"/>
        <v>87.75</v>
      </c>
      <c r="L25" s="4">
        <f t="shared" ca="1" si="2"/>
        <v>-5.6350145176900693E-2</v>
      </c>
      <c r="M25" s="10"/>
      <c r="N25" s="169" vm="166">
        <f ca="1"/>
        <v>44774</v>
      </c>
      <c r="O25" s="169" vm="170">
        <f ca="1"/>
        <v>10.49</v>
      </c>
      <c r="P25" s="4">
        <f t="shared" ca="1" si="3"/>
        <v>-0.10950764006791165</v>
      </c>
      <c r="Q25" s="10"/>
      <c r="R25" s="169" vm="166">
        <f ca="1"/>
        <v>44774</v>
      </c>
      <c r="S25" s="169" vm="171">
        <f ca="1"/>
        <v>3.97</v>
      </c>
      <c r="T25" s="4">
        <f t="shared" ca="1" si="4"/>
        <v>2.0565552699228811E-2</v>
      </c>
      <c r="U25" s="10"/>
      <c r="V25" s="169" vm="166">
        <f ca="1"/>
        <v>44774</v>
      </c>
      <c r="W25" s="169" vm="172">
        <f ca="1"/>
        <v>5.35</v>
      </c>
      <c r="X25" s="4">
        <f t="shared" ca="1" si="5"/>
        <v>-0.15615141955835965</v>
      </c>
      <c r="Y25" s="10"/>
      <c r="Z25" s="169" vm="166">
        <f ca="1"/>
        <v>44774</v>
      </c>
      <c r="AA25" s="169" vm="173">
        <f ca="1"/>
        <v>97.47</v>
      </c>
      <c r="AB25" s="4">
        <f t="shared" ca="1" si="6"/>
        <v>-3.2747841619529594E-2</v>
      </c>
      <c r="AC25" s="10"/>
      <c r="AD25" s="169" vm="166">
        <f ca="1"/>
        <v>44774</v>
      </c>
      <c r="AE25" s="169" vm="174">
        <f ca="1"/>
        <v>1.92</v>
      </c>
      <c r="AF25" s="4">
        <f t="shared" ca="1" si="7"/>
        <v>1.5873015873015889E-2</v>
      </c>
      <c r="AG25" s="10"/>
      <c r="AI25" s="13"/>
    </row>
    <row r="26" spans="1:38" x14ac:dyDescent="0.3">
      <c r="A26">
        <v>20</v>
      </c>
      <c r="B26" s="169" vm="175">
        <f ca="1"/>
        <v>44805</v>
      </c>
      <c r="C26" s="169" vm="176">
        <f ca="1"/>
        <v>50.19</v>
      </c>
      <c r="D26" s="4">
        <f t="shared" ca="1" si="0"/>
        <v>-7.8744493392070472E-2</v>
      </c>
      <c r="E26" s="10"/>
      <c r="F26" s="169" vm="175">
        <f ca="1"/>
        <v>44805</v>
      </c>
      <c r="G26" s="169" vm="177">
        <f ca="1"/>
        <v>285.02</v>
      </c>
      <c r="H26" s="4">
        <f t="shared" ca="1" si="1"/>
        <v>-2.902500511003624E-2</v>
      </c>
      <c r="I26" s="10"/>
      <c r="J26" s="169" vm="175">
        <f ca="1"/>
        <v>44805</v>
      </c>
      <c r="K26" s="169" vm="178">
        <f ca="1"/>
        <v>73.510000000000005</v>
      </c>
      <c r="L26" s="4">
        <f t="shared" ca="1" si="2"/>
        <v>-0.16227920227920223</v>
      </c>
      <c r="M26" s="10"/>
      <c r="N26" s="169" vm="175">
        <f ca="1"/>
        <v>44805</v>
      </c>
      <c r="O26" s="169" vm="179">
        <f ca="1"/>
        <v>8.82</v>
      </c>
      <c r="P26" s="4">
        <f t="shared" ca="1" si="3"/>
        <v>-0.15919923736892277</v>
      </c>
      <c r="Q26" s="10"/>
      <c r="R26" s="169" vm="175">
        <f ca="1"/>
        <v>44805</v>
      </c>
      <c r="S26" s="169" vm="154">
        <f ca="1"/>
        <v>3.85</v>
      </c>
      <c r="T26" s="4">
        <f t="shared" ca="1" si="4"/>
        <v>-3.0226700251889196E-2</v>
      </c>
      <c r="U26" s="10"/>
      <c r="V26" s="169" vm="175">
        <f ca="1"/>
        <v>44805</v>
      </c>
      <c r="W26" s="169" vm="180">
        <f ca="1"/>
        <v>4.8499999999999996</v>
      </c>
      <c r="X26" s="4">
        <f t="shared" ca="1" si="5"/>
        <v>-9.3457943925233655E-2</v>
      </c>
      <c r="Y26" s="10"/>
      <c r="Z26" s="169" vm="175">
        <f ca="1"/>
        <v>44805</v>
      </c>
      <c r="AA26" s="169" vm="181">
        <f ca="1"/>
        <v>90.7</v>
      </c>
      <c r="AB26" s="4">
        <f t="shared" ca="1" si="6"/>
        <v>-6.9457268903252239E-2</v>
      </c>
      <c r="AC26" s="10"/>
      <c r="AD26" s="169" vm="175">
        <f ca="1"/>
        <v>44805</v>
      </c>
      <c r="AE26" s="169" vm="182">
        <f ca="1"/>
        <v>1.605</v>
      </c>
      <c r="AF26" s="4">
        <f t="shared" ca="1" si="7"/>
        <v>-0.16406249999999997</v>
      </c>
      <c r="AG26" s="10"/>
    </row>
    <row r="27" spans="1:38" x14ac:dyDescent="0.3">
      <c r="A27">
        <v>21</v>
      </c>
      <c r="B27" s="169" vm="183">
        <f ca="1"/>
        <v>44835</v>
      </c>
      <c r="C27" s="169" vm="184">
        <f ca="1"/>
        <v>55.82</v>
      </c>
      <c r="D27" s="4">
        <f t="shared" ca="1" si="0"/>
        <v>0.1121737397888026</v>
      </c>
      <c r="E27" s="10"/>
      <c r="F27" s="169" vm="183">
        <f ca="1"/>
        <v>44835</v>
      </c>
      <c r="G27" s="169" vm="185">
        <f ca="1"/>
        <v>280.48</v>
      </c>
      <c r="H27" s="4">
        <f t="shared" ca="1" si="1"/>
        <v>-1.5928706757420405E-2</v>
      </c>
      <c r="I27" s="10"/>
      <c r="J27" s="169" vm="183">
        <f ca="1"/>
        <v>44835</v>
      </c>
      <c r="K27" s="169" vm="186">
        <f ca="1"/>
        <v>78.069999999999993</v>
      </c>
      <c r="L27" s="4">
        <f t="shared" ca="1" si="2"/>
        <v>6.2032376547408348E-2</v>
      </c>
      <c r="M27" s="10"/>
      <c r="N27" s="169" vm="183">
        <f ca="1"/>
        <v>44835</v>
      </c>
      <c r="O27" s="169" vm="187">
        <f ca="1"/>
        <v>8.32</v>
      </c>
      <c r="P27" s="4">
        <f t="shared" ca="1" si="3"/>
        <v>-5.6689342403628114E-2</v>
      </c>
      <c r="Q27" s="10"/>
      <c r="R27" s="169" vm="183">
        <f ca="1"/>
        <v>44835</v>
      </c>
      <c r="S27" s="169" vm="110">
        <f ca="1"/>
        <v>3.92</v>
      </c>
      <c r="T27" s="4">
        <f t="shared" ca="1" si="4"/>
        <v>1.8181818181818139E-2</v>
      </c>
      <c r="U27" s="10"/>
      <c r="V27" s="169" vm="183">
        <f ca="1"/>
        <v>44835</v>
      </c>
      <c r="W27" s="169" vm="188">
        <f ca="1"/>
        <v>4.9000000000000004</v>
      </c>
      <c r="X27" s="4">
        <f t="shared" ca="1" si="5"/>
        <v>1.0309278350515611E-2</v>
      </c>
      <c r="Y27" s="10"/>
      <c r="Z27" s="169" vm="183">
        <f ca="1"/>
        <v>44835</v>
      </c>
      <c r="AA27" s="169" vm="88">
        <f ca="1"/>
        <v>104.68</v>
      </c>
      <c r="AB27" s="4">
        <f t="shared" ca="1" si="6"/>
        <v>0.15413450937155462</v>
      </c>
      <c r="AC27" s="10"/>
      <c r="AD27" s="169" vm="183">
        <f ca="1"/>
        <v>44835</v>
      </c>
      <c r="AE27" s="169" vm="189">
        <f ca="1"/>
        <v>1.68</v>
      </c>
      <c r="AF27" s="4">
        <f t="shared" ca="1" si="7"/>
        <v>4.6728971962616793E-2</v>
      </c>
      <c r="AG27" s="10"/>
    </row>
    <row r="28" spans="1:38" x14ac:dyDescent="0.3">
      <c r="A28">
        <v>22</v>
      </c>
      <c r="B28" s="169" vm="190">
        <f ca="1"/>
        <v>44866</v>
      </c>
      <c r="C28" s="169" vm="191">
        <f ca="1"/>
        <v>59.44</v>
      </c>
      <c r="D28" s="4">
        <f t="shared" ca="1" si="0"/>
        <v>6.4851307774990999E-2</v>
      </c>
      <c r="E28" s="10"/>
      <c r="F28" s="169" vm="190">
        <f ca="1"/>
        <v>44866</v>
      </c>
      <c r="G28" s="169" vm="192">
        <f ca="1"/>
        <v>300.11</v>
      </c>
      <c r="H28" s="4">
        <f t="shared" ca="1" si="1"/>
        <v>6.9987164860239565E-2</v>
      </c>
      <c r="I28" s="10"/>
      <c r="J28" s="169" vm="190">
        <f ca="1"/>
        <v>44866</v>
      </c>
      <c r="K28" s="169" vm="193">
        <f ca="1"/>
        <v>70.64</v>
      </c>
      <c r="L28" s="4">
        <f t="shared" ca="1" si="2"/>
        <v>-9.5171000384270441E-2</v>
      </c>
      <c r="M28" s="10"/>
      <c r="N28" s="169" vm="190">
        <f ca="1"/>
        <v>44866</v>
      </c>
      <c r="O28" s="169" vm="194">
        <f ca="1"/>
        <v>9.8699999999999992</v>
      </c>
      <c r="P28" s="4">
        <f t="shared" ca="1" si="3"/>
        <v>0.18629807692307679</v>
      </c>
      <c r="Q28" s="10"/>
      <c r="R28" s="169" vm="190">
        <f ca="1"/>
        <v>44866</v>
      </c>
      <c r="S28" s="169" vm="195">
        <f ca="1"/>
        <v>3.98</v>
      </c>
      <c r="T28" s="4">
        <f t="shared" ca="1" si="4"/>
        <v>1.5306122448979605E-2</v>
      </c>
      <c r="U28" s="10"/>
      <c r="V28" s="169" vm="190">
        <f ca="1"/>
        <v>44866</v>
      </c>
      <c r="W28" s="169" vm="196">
        <f ca="1"/>
        <v>4.8899999999999997</v>
      </c>
      <c r="X28" s="4">
        <f t="shared" ca="1" si="5"/>
        <v>-2.0408163265307499E-3</v>
      </c>
      <c r="Y28" s="10"/>
      <c r="Z28" s="169" vm="190">
        <f ca="1"/>
        <v>44866</v>
      </c>
      <c r="AA28" s="169" vm="197">
        <f ca="1"/>
        <v>107.86</v>
      </c>
      <c r="AB28" s="4">
        <f t="shared" ca="1" si="6"/>
        <v>3.0378295758502028E-2</v>
      </c>
      <c r="AC28" s="10"/>
      <c r="AD28" s="169" vm="190">
        <f ca="1"/>
        <v>44866</v>
      </c>
      <c r="AE28" s="169" vm="198">
        <f ca="1"/>
        <v>1.665</v>
      </c>
      <c r="AF28" s="4">
        <f t="shared" ca="1" si="7"/>
        <v>-8.9285714285713708E-3</v>
      </c>
      <c r="AG28" s="10"/>
    </row>
    <row r="29" spans="1:38" x14ac:dyDescent="0.3">
      <c r="A29">
        <v>23</v>
      </c>
      <c r="B29" s="169" vm="199">
        <f ca="1"/>
        <v>44896</v>
      </c>
      <c r="C29" s="169" vm="200">
        <f ca="1"/>
        <v>55.26</v>
      </c>
      <c r="D29" s="4">
        <f t="shared" ca="1" si="0"/>
        <v>-7.0323014804845221E-2</v>
      </c>
      <c r="E29" s="10"/>
      <c r="F29" s="169" vm="199">
        <f ca="1"/>
        <v>44896</v>
      </c>
      <c r="G29" s="169" vm="201">
        <f ca="1"/>
        <v>287.76</v>
      </c>
      <c r="H29" s="4">
        <f t="shared" ca="1" si="1"/>
        <v>-4.1151577754823303E-2</v>
      </c>
      <c r="I29" s="10"/>
      <c r="J29" s="169" vm="199">
        <f ca="1"/>
        <v>44896</v>
      </c>
      <c r="K29" s="169" vm="202">
        <f ca="1"/>
        <v>70.27</v>
      </c>
      <c r="L29" s="4">
        <f t="shared" ca="1" si="2"/>
        <v>-5.2378255945640505E-3</v>
      </c>
      <c r="M29" s="10"/>
      <c r="N29" s="169" vm="199">
        <f ca="1"/>
        <v>44896</v>
      </c>
      <c r="O29" s="169" vm="203">
        <f ca="1"/>
        <v>9.1</v>
      </c>
      <c r="P29" s="4">
        <f t="shared" ca="1" si="3"/>
        <v>-7.8014184397163081E-2</v>
      </c>
      <c r="Q29" s="10"/>
      <c r="R29" s="169" vm="199">
        <f ca="1"/>
        <v>44896</v>
      </c>
      <c r="S29" s="169" vm="204">
        <f ca="1"/>
        <v>3.99</v>
      </c>
      <c r="T29" s="4">
        <f t="shared" ca="1" si="4"/>
        <v>2.5125628140704099E-3</v>
      </c>
      <c r="U29" s="10"/>
      <c r="V29" s="169" vm="199">
        <f ca="1"/>
        <v>44896</v>
      </c>
      <c r="W29" s="169" vm="196">
        <f ca="1"/>
        <v>4.8899999999999997</v>
      </c>
      <c r="X29" s="4">
        <f t="shared" ca="1" si="5"/>
        <v>0</v>
      </c>
      <c r="Y29" s="10"/>
      <c r="Z29" s="169" vm="199">
        <f ca="1"/>
        <v>44896</v>
      </c>
      <c r="AA29" s="169" vm="205">
        <f ca="1"/>
        <v>102.6</v>
      </c>
      <c r="AB29" s="4">
        <f t="shared" ca="1" si="6"/>
        <v>-4.8766920081587291E-2</v>
      </c>
      <c r="AC29" s="10"/>
      <c r="AD29" s="169" vm="199">
        <f ca="1"/>
        <v>44896</v>
      </c>
      <c r="AE29" s="169" vm="206">
        <f ca="1"/>
        <v>1.4550000000000001</v>
      </c>
      <c r="AF29" s="4">
        <f t="shared" ca="1" si="7"/>
        <v>-0.12612612612612611</v>
      </c>
      <c r="AG29" s="10"/>
    </row>
    <row r="30" spans="1:38" x14ac:dyDescent="0.3">
      <c r="A30">
        <v>24</v>
      </c>
      <c r="B30" s="169" vm="207">
        <f ca="1"/>
        <v>44927</v>
      </c>
      <c r="C30" s="169" vm="208">
        <f ca="1"/>
        <v>66.849999999999994</v>
      </c>
      <c r="D30" s="4">
        <f t="shared" ca="1" si="0"/>
        <v>0.20973579442634813</v>
      </c>
      <c r="E30" s="10"/>
      <c r="F30" s="169" vm="207">
        <f ca="1"/>
        <v>44927</v>
      </c>
      <c r="G30" s="169" vm="209">
        <f ca="1"/>
        <v>298.08</v>
      </c>
      <c r="H30" s="4">
        <f t="shared" ca="1" si="1"/>
        <v>3.586321934945786E-2</v>
      </c>
      <c r="I30" s="10"/>
      <c r="J30" s="169" vm="207">
        <f ca="1"/>
        <v>44927</v>
      </c>
      <c r="K30" s="169" vm="210">
        <f ca="1"/>
        <v>76.8</v>
      </c>
      <c r="L30" s="4">
        <f t="shared" ca="1" si="2"/>
        <v>9.2927280489540368E-2</v>
      </c>
      <c r="M30" s="10"/>
      <c r="N30" s="169" vm="207">
        <f ca="1"/>
        <v>44927</v>
      </c>
      <c r="O30" s="169" vm="211">
        <f ca="1"/>
        <v>9.89</v>
      </c>
      <c r="P30" s="4">
        <f t="shared" ca="1" si="3"/>
        <v>8.6813186813186921E-2</v>
      </c>
      <c r="Q30" s="10"/>
      <c r="R30" s="169" vm="207">
        <f ca="1"/>
        <v>44927</v>
      </c>
      <c r="S30" s="169" vm="212">
        <f ca="1"/>
        <v>4.08</v>
      </c>
      <c r="T30" s="4">
        <f t="shared" ca="1" si="4"/>
        <v>2.2556390977443573E-2</v>
      </c>
      <c r="U30" s="10"/>
      <c r="V30" s="169" vm="207">
        <f ca="1"/>
        <v>44927</v>
      </c>
      <c r="W30" s="169" vm="213">
        <f ca="1"/>
        <v>4.82</v>
      </c>
      <c r="X30" s="4">
        <f t="shared" ca="1" si="5"/>
        <v>-1.431492842535775E-2</v>
      </c>
      <c r="Y30" s="10"/>
      <c r="Z30" s="169" vm="207">
        <f ca="1"/>
        <v>44927</v>
      </c>
      <c r="AA30" s="169" vm="214">
        <f ca="1"/>
        <v>110.06</v>
      </c>
      <c r="AB30" s="4">
        <f t="shared" ca="1" si="6"/>
        <v>7.2709551656920154E-2</v>
      </c>
      <c r="AC30" s="10"/>
      <c r="AD30" s="169" vm="207">
        <f ca="1"/>
        <v>44927</v>
      </c>
      <c r="AE30" s="169" vm="215">
        <f ca="1"/>
        <v>1.69</v>
      </c>
      <c r="AF30" s="4">
        <f t="shared" ca="1" si="7"/>
        <v>0.16151202749140883</v>
      </c>
      <c r="AG30" s="10"/>
    </row>
    <row r="31" spans="1:38" x14ac:dyDescent="0.3">
      <c r="A31">
        <v>25</v>
      </c>
      <c r="B31" s="169" vm="216">
        <f ca="1"/>
        <v>44958</v>
      </c>
      <c r="C31" s="169" vm="217">
        <f ca="1"/>
        <v>61.01</v>
      </c>
      <c r="D31" s="4">
        <f t="shared" ca="1" si="0"/>
        <v>-8.7359760658189928E-2</v>
      </c>
      <c r="E31" s="10"/>
      <c r="F31" s="169" vm="216">
        <f ca="1"/>
        <v>44958</v>
      </c>
      <c r="G31" s="169" vm="218">
        <f ca="1"/>
        <v>296.3</v>
      </c>
      <c r="H31" s="4">
        <f t="shared" ca="1" si="1"/>
        <v>-5.9715512614062424E-3</v>
      </c>
      <c r="I31" s="10"/>
      <c r="J31" s="169" vm="216">
        <f ca="1"/>
        <v>44958</v>
      </c>
      <c r="K31" s="169" vm="219">
        <f ca="1"/>
        <v>77.7</v>
      </c>
      <c r="L31" s="4">
        <f t="shared" ca="1" si="2"/>
        <v>1.1718750000000075E-2</v>
      </c>
      <c r="M31" s="10"/>
      <c r="N31" s="169" vm="216">
        <f ca="1"/>
        <v>44958</v>
      </c>
      <c r="O31" s="169" vm="220">
        <f ca="1"/>
        <v>10.27</v>
      </c>
      <c r="P31" s="4">
        <f t="shared" ca="1" si="3"/>
        <v>3.8422649140545904E-2</v>
      </c>
      <c r="Q31" s="10"/>
      <c r="R31" s="169" vm="216">
        <f ca="1"/>
        <v>44958</v>
      </c>
      <c r="S31" s="169" vm="221">
        <f ca="1"/>
        <v>4.16</v>
      </c>
      <c r="T31" s="4">
        <f t="shared" ca="1" si="4"/>
        <v>1.9607843137254919E-2</v>
      </c>
      <c r="U31" s="10"/>
      <c r="V31" s="169" vm="216">
        <f ca="1"/>
        <v>44958</v>
      </c>
      <c r="W31" s="169" vm="222">
        <f ca="1"/>
        <v>5.07</v>
      </c>
      <c r="X31" s="4">
        <f t="shared" ca="1" si="5"/>
        <v>5.1867219917012444E-2</v>
      </c>
      <c r="Y31" s="10"/>
      <c r="Z31" s="169" vm="216">
        <f ca="1"/>
        <v>44958</v>
      </c>
      <c r="AA31" s="169" vm="223">
        <f ca="1"/>
        <v>100.69</v>
      </c>
      <c r="AB31" s="4">
        <f t="shared" ca="1" si="6"/>
        <v>-8.5135380701435615E-2</v>
      </c>
      <c r="AC31" s="10"/>
      <c r="AD31" s="169" vm="216">
        <f ca="1"/>
        <v>44958</v>
      </c>
      <c r="AE31" s="169" vm="224">
        <f ca="1"/>
        <v>1.575</v>
      </c>
      <c r="AF31" s="4">
        <f t="shared" ca="1" si="7"/>
        <v>-6.8047337278106509E-2</v>
      </c>
      <c r="AG31" s="10"/>
    </row>
    <row r="32" spans="1:38" x14ac:dyDescent="0.3">
      <c r="A32">
        <v>26</v>
      </c>
      <c r="B32" s="169" vm="225">
        <f ca="1"/>
        <v>44986</v>
      </c>
      <c r="C32" s="169" vm="226">
        <f ca="1"/>
        <v>63.87</v>
      </c>
      <c r="D32" s="4">
        <f t="shared" ca="1" si="0"/>
        <v>4.6877561055564655E-2</v>
      </c>
      <c r="E32" s="10"/>
      <c r="F32" s="169" vm="225">
        <f ca="1"/>
        <v>44986</v>
      </c>
      <c r="G32" s="169" vm="227">
        <f ca="1"/>
        <v>288.3</v>
      </c>
      <c r="H32" s="4">
        <f t="shared" ca="1" si="1"/>
        <v>-2.6999662504218695E-2</v>
      </c>
      <c r="I32" s="10"/>
      <c r="J32" s="169" vm="225">
        <f ca="1"/>
        <v>44986</v>
      </c>
      <c r="K32" s="169" vm="228">
        <f ca="1"/>
        <v>89.42</v>
      </c>
      <c r="L32" s="4">
        <f t="shared" ca="1" si="2"/>
        <v>0.15083655083655081</v>
      </c>
      <c r="M32" s="10"/>
      <c r="N32" s="169" vm="225">
        <f ca="1"/>
        <v>44986</v>
      </c>
      <c r="O32" s="169" vm="229">
        <f ca="1"/>
        <v>10.46</v>
      </c>
      <c r="P32" s="4">
        <f t="shared" ca="1" si="3"/>
        <v>1.8500486854917359E-2</v>
      </c>
      <c r="Q32" s="10"/>
      <c r="R32" s="169" vm="225">
        <f ca="1"/>
        <v>44986</v>
      </c>
      <c r="S32" s="169" vm="230">
        <f ca="1"/>
        <v>4.22</v>
      </c>
      <c r="T32" s="4">
        <f t="shared" ca="1" si="4"/>
        <v>1.4423076923076828E-2</v>
      </c>
      <c r="U32" s="10"/>
      <c r="V32" s="169" vm="225">
        <f ca="1"/>
        <v>44986</v>
      </c>
      <c r="W32" s="169" vm="231">
        <f ca="1"/>
        <v>4.88</v>
      </c>
      <c r="X32" s="4">
        <f t="shared" ca="1" si="5"/>
        <v>-3.7475345167652933E-2</v>
      </c>
      <c r="Y32" s="10"/>
      <c r="Z32" s="169" vm="225">
        <f ca="1"/>
        <v>44986</v>
      </c>
      <c r="AA32" s="169" vm="232">
        <f ca="1"/>
        <v>98.32</v>
      </c>
      <c r="AB32" s="4">
        <f t="shared" ca="1" si="6"/>
        <v>-2.3537590624689686E-2</v>
      </c>
      <c r="AC32" s="10"/>
      <c r="AD32" s="169" vm="225">
        <f ca="1"/>
        <v>44986</v>
      </c>
      <c r="AE32" s="169" vm="233">
        <f ca="1"/>
        <v>1.49</v>
      </c>
      <c r="AF32" s="4">
        <f t="shared" ca="1" si="7"/>
        <v>-5.396825396825395E-2</v>
      </c>
      <c r="AG32" s="10"/>
    </row>
    <row r="33" spans="1:33" x14ac:dyDescent="0.3">
      <c r="A33">
        <v>27</v>
      </c>
      <c r="B33" s="169" vm="234">
        <f ca="1"/>
        <v>45017</v>
      </c>
      <c r="C33" s="169" vm="235">
        <f ca="1"/>
        <v>61.44</v>
      </c>
      <c r="D33" s="4">
        <f t="shared" ca="1" si="0"/>
        <v>-3.8046031000469702E-2</v>
      </c>
      <c r="E33" s="10"/>
      <c r="F33" s="169" vm="234">
        <f ca="1"/>
        <v>45017</v>
      </c>
      <c r="G33" s="169" vm="236">
        <f ca="1"/>
        <v>300.58</v>
      </c>
      <c r="H33" s="4">
        <f t="shared" ca="1" si="1"/>
        <v>4.2594519597641246E-2</v>
      </c>
      <c r="I33" s="10"/>
      <c r="J33" s="169" vm="234">
        <f ca="1"/>
        <v>45017</v>
      </c>
      <c r="K33" s="169" vm="237">
        <f ca="1"/>
        <v>93.34</v>
      </c>
      <c r="L33" s="4">
        <f t="shared" ca="1" si="2"/>
        <v>4.3838067546410217E-2</v>
      </c>
      <c r="M33" s="10"/>
      <c r="N33" s="169" vm="234">
        <f ca="1"/>
        <v>45017</v>
      </c>
      <c r="O33" s="169" vm="238">
        <f ca="1"/>
        <v>11.48</v>
      </c>
      <c r="P33" s="4">
        <f t="shared" ca="1" si="3"/>
        <v>9.7514340344168213E-2</v>
      </c>
      <c r="Q33" s="10"/>
      <c r="R33" s="169" vm="234">
        <f ca="1"/>
        <v>45017</v>
      </c>
      <c r="S33" s="169" vm="239">
        <f ca="1"/>
        <v>4.37</v>
      </c>
      <c r="T33" s="4">
        <f t="shared" ca="1" si="4"/>
        <v>3.5545023696682554E-2</v>
      </c>
      <c r="U33" s="10"/>
      <c r="V33" s="169" vm="234">
        <f ca="1"/>
        <v>45017</v>
      </c>
      <c r="W33" s="169" vm="240">
        <f ca="1"/>
        <v>5.37</v>
      </c>
      <c r="X33" s="4">
        <f t="shared" ca="1" si="5"/>
        <v>0.10040983606557381</v>
      </c>
      <c r="Y33" s="10"/>
      <c r="Z33" s="169" vm="234">
        <f ca="1"/>
        <v>45017</v>
      </c>
      <c r="AA33" s="169" vm="241">
        <f ca="1"/>
        <v>99.36</v>
      </c>
      <c r="AB33" s="4">
        <f t="shared" ca="1" si="6"/>
        <v>1.0577705451586721E-2</v>
      </c>
      <c r="AC33" s="10"/>
      <c r="AD33" s="169" vm="234">
        <f ca="1"/>
        <v>45017</v>
      </c>
      <c r="AE33" s="169" vm="242">
        <f ca="1"/>
        <v>1.61</v>
      </c>
      <c r="AF33" s="4">
        <f t="shared" ca="1" si="7"/>
        <v>8.053691275167793E-2</v>
      </c>
      <c r="AG33" s="10"/>
    </row>
    <row r="34" spans="1:33" x14ac:dyDescent="0.3">
      <c r="A34">
        <v>28</v>
      </c>
      <c r="B34" s="169" vm="243">
        <f ca="1"/>
        <v>45047</v>
      </c>
      <c r="C34" s="169" vm="244">
        <f ca="1"/>
        <v>59.35</v>
      </c>
      <c r="D34" s="4">
        <f t="shared" ca="1" si="0"/>
        <v>-3.4016927083333273E-2</v>
      </c>
      <c r="E34" s="10"/>
      <c r="F34" s="169" vm="243">
        <f ca="1"/>
        <v>45047</v>
      </c>
      <c r="G34" s="169" vm="245">
        <f ca="1"/>
        <v>306.39</v>
      </c>
      <c r="H34" s="4">
        <f t="shared" ca="1" si="1"/>
        <v>1.9329296693060091E-2</v>
      </c>
      <c r="I34" s="10"/>
      <c r="J34" s="169" vm="243">
        <f ca="1"/>
        <v>45047</v>
      </c>
      <c r="K34" s="169" vm="246">
        <f ca="1"/>
        <v>109.95</v>
      </c>
      <c r="L34" s="4">
        <f t="shared" ca="1" si="2"/>
        <v>0.17795157488750801</v>
      </c>
      <c r="M34" s="10"/>
      <c r="N34" s="169" vm="243">
        <f ca="1"/>
        <v>45047</v>
      </c>
      <c r="O34" s="169" vm="247">
        <f ca="1"/>
        <v>12.71</v>
      </c>
      <c r="P34" s="4">
        <f t="shared" ca="1" si="3"/>
        <v>0.10714285714285718</v>
      </c>
      <c r="Q34" s="10"/>
      <c r="R34" s="169" vm="243">
        <f ca="1"/>
        <v>45047</v>
      </c>
      <c r="S34" s="169" vm="248">
        <f ca="1"/>
        <v>4.3600000000000003</v>
      </c>
      <c r="T34" s="4">
        <f t="shared" ca="1" si="4"/>
        <v>-2.2883295194507519E-3</v>
      </c>
      <c r="U34" s="10"/>
      <c r="V34" s="169" vm="243">
        <f ca="1"/>
        <v>45047</v>
      </c>
      <c r="W34" s="169" vm="249">
        <f ca="1"/>
        <v>5.47</v>
      </c>
      <c r="X34" s="4">
        <f t="shared" ca="1" si="5"/>
        <v>1.8621973929236431E-2</v>
      </c>
      <c r="Y34" s="10"/>
      <c r="Z34" s="169" vm="243">
        <f ca="1"/>
        <v>45047</v>
      </c>
      <c r="AA34" s="169" vm="250">
        <f ca="1"/>
        <v>96.78</v>
      </c>
      <c r="AB34" s="4">
        <f t="shared" ca="1" si="6"/>
        <v>-2.5966183574879211E-2</v>
      </c>
      <c r="AC34" s="10"/>
      <c r="AD34" s="169" vm="243">
        <f ca="1"/>
        <v>45047</v>
      </c>
      <c r="AE34" s="169" vm="251">
        <f ca="1"/>
        <v>1.7</v>
      </c>
      <c r="AF34" s="4">
        <f t="shared" ca="1" si="7"/>
        <v>5.5900621118012334E-2</v>
      </c>
      <c r="AG34" s="10"/>
    </row>
    <row r="35" spans="1:33" x14ac:dyDescent="0.3">
      <c r="A35">
        <v>29</v>
      </c>
      <c r="B35" s="169" vm="252">
        <f ca="1"/>
        <v>45078</v>
      </c>
      <c r="C35" s="169" vm="253">
        <f ca="1"/>
        <v>65.64</v>
      </c>
      <c r="D35" s="4">
        <f t="shared" ca="1" si="0"/>
        <v>0.10598146588037066</v>
      </c>
      <c r="E35" s="10"/>
      <c r="F35" s="169" vm="252">
        <f ca="1"/>
        <v>45078</v>
      </c>
      <c r="G35" s="169" vm="254">
        <f ca="1"/>
        <v>277.38</v>
      </c>
      <c r="H35" s="4">
        <f t="shared" ca="1" si="1"/>
        <v>-9.4683246842259844E-2</v>
      </c>
      <c r="I35" s="10"/>
      <c r="J35" s="169" vm="252">
        <f ca="1"/>
        <v>45078</v>
      </c>
      <c r="K35" s="169" vm="255">
        <f ca="1"/>
        <v>118.93</v>
      </c>
      <c r="L35" s="4">
        <f t="shared" ca="1" si="2"/>
        <v>8.1673487949067786E-2</v>
      </c>
      <c r="M35" s="10"/>
      <c r="N35" s="169" vm="252">
        <f ca="1"/>
        <v>45078</v>
      </c>
      <c r="O35" s="169" vm="256">
        <f ca="1"/>
        <v>12.58</v>
      </c>
      <c r="P35" s="4">
        <f t="shared" ca="1" si="3"/>
        <v>-1.0228166797797072E-2</v>
      </c>
      <c r="Q35" s="10"/>
      <c r="R35" s="169" vm="252">
        <f ca="1"/>
        <v>45078</v>
      </c>
      <c r="S35" s="169" vm="257">
        <f ca="1"/>
        <v>4.3</v>
      </c>
      <c r="T35" s="4">
        <f t="shared" ca="1" si="4"/>
        <v>-1.376146788990837E-2</v>
      </c>
      <c r="U35" s="10"/>
      <c r="V35" s="169" vm="252">
        <f ca="1"/>
        <v>45078</v>
      </c>
      <c r="W35" s="169" vm="258">
        <f ca="1"/>
        <v>4.87</v>
      </c>
      <c r="X35" s="4">
        <f t="shared" ca="1" si="5"/>
        <v>-0.10968921389396703</v>
      </c>
      <c r="Y35" s="10"/>
      <c r="Z35" s="169" vm="252">
        <f ca="1"/>
        <v>45078</v>
      </c>
      <c r="AA35" s="169" vm="259">
        <f ca="1"/>
        <v>100.27</v>
      </c>
      <c r="AB35" s="4">
        <f t="shared" ca="1" si="6"/>
        <v>3.6061169663153488E-2</v>
      </c>
      <c r="AC35" s="10"/>
      <c r="AD35" s="169" vm="252">
        <f ca="1"/>
        <v>45078</v>
      </c>
      <c r="AE35" s="169" vm="260">
        <f ca="1"/>
        <v>1.79</v>
      </c>
      <c r="AF35" s="4">
        <f t="shared" ca="1" si="7"/>
        <v>5.2941176470588283E-2</v>
      </c>
      <c r="AG35" s="10"/>
    </row>
    <row r="36" spans="1:33" x14ac:dyDescent="0.3">
      <c r="A36">
        <v>30</v>
      </c>
      <c r="B36" s="169" vm="261">
        <f ca="1"/>
        <v>45108</v>
      </c>
      <c r="C36" s="169" vm="262">
        <f ca="1"/>
        <v>68.790000000000006</v>
      </c>
      <c r="D36" s="4">
        <f t="shared" ca="1" si="0"/>
        <v>4.7989031078610689E-2</v>
      </c>
      <c r="E36" s="10"/>
      <c r="F36" s="169" vm="261">
        <f ca="1"/>
        <v>45108</v>
      </c>
      <c r="G36" s="169" vm="263">
        <f ca="1"/>
        <v>268.52</v>
      </c>
      <c r="H36" s="4">
        <f t="shared" ca="1" si="1"/>
        <v>-3.194174057249987E-2</v>
      </c>
      <c r="I36" s="10"/>
      <c r="J36" s="169" vm="261">
        <f ca="1"/>
        <v>45108</v>
      </c>
      <c r="K36" s="169" vm="264">
        <f ca="1"/>
        <v>122.21</v>
      </c>
      <c r="L36" s="4">
        <f t="shared" ca="1" si="2"/>
        <v>2.757924829731764E-2</v>
      </c>
      <c r="M36" s="10"/>
      <c r="N36" s="169" vm="261">
        <f ca="1"/>
        <v>45108</v>
      </c>
      <c r="O36" s="169" vm="58">
        <f ca="1"/>
        <v>12.75</v>
      </c>
      <c r="P36" s="4">
        <f t="shared" ca="1" si="3"/>
        <v>1.3513513513513507E-2</v>
      </c>
      <c r="Q36" s="10"/>
      <c r="R36" s="169" vm="261">
        <f ca="1"/>
        <v>45108</v>
      </c>
      <c r="S36" s="169" vm="265">
        <f ca="1"/>
        <v>4.26</v>
      </c>
      <c r="T36" s="4">
        <f t="shared" ca="1" si="4"/>
        <v>-9.3023255813953574E-3</v>
      </c>
      <c r="U36" s="10"/>
      <c r="V36" s="169" vm="261">
        <f ca="1"/>
        <v>45108</v>
      </c>
      <c r="W36" s="169" vm="266">
        <f ca="1"/>
        <v>5.0199999999999996</v>
      </c>
      <c r="X36" s="4">
        <f t="shared" ca="1" si="5"/>
        <v>3.0800821355236031E-2</v>
      </c>
      <c r="Y36" s="10"/>
      <c r="Z36" s="169" vm="261">
        <f ca="1"/>
        <v>45108</v>
      </c>
      <c r="AA36" s="169" vm="267">
        <f ca="1"/>
        <v>105.71</v>
      </c>
      <c r="AB36" s="4">
        <f t="shared" ca="1" si="6"/>
        <v>5.4253515508128035E-2</v>
      </c>
      <c r="AC36" s="10"/>
      <c r="AD36" s="169" vm="261">
        <f ca="1"/>
        <v>45108</v>
      </c>
      <c r="AE36" s="169" vm="268">
        <f ca="1"/>
        <v>1.83</v>
      </c>
      <c r="AF36" s="4">
        <f t="shared" ca="1" si="7"/>
        <v>2.2346368715083817E-2</v>
      </c>
      <c r="AG36" s="10"/>
    </row>
    <row r="37" spans="1:33" x14ac:dyDescent="0.3">
      <c r="A37">
        <v>31</v>
      </c>
      <c r="B37" s="169" vm="269">
        <f ca="1"/>
        <v>45139</v>
      </c>
      <c r="C37" s="169" vm="270">
        <f ca="1"/>
        <v>73.319999999999993</v>
      </c>
      <c r="D37" s="4">
        <f t="shared" ca="1" si="0"/>
        <v>6.585259485390299E-2</v>
      </c>
      <c r="E37" s="10"/>
      <c r="F37" s="169" vm="269">
        <f ca="1"/>
        <v>45139</v>
      </c>
      <c r="G37" s="169" vm="271">
        <f ca="1"/>
        <v>273.52999999999997</v>
      </c>
      <c r="H37" s="4">
        <f t="shared" ca="1" si="1"/>
        <v>1.8657828094741515E-2</v>
      </c>
      <c r="I37" s="10"/>
      <c r="J37" s="169" vm="269">
        <f ca="1"/>
        <v>45139</v>
      </c>
      <c r="K37" s="169" vm="272">
        <f ca="1"/>
        <v>125.1</v>
      </c>
      <c r="L37" s="4">
        <f t="shared" ca="1" si="2"/>
        <v>2.3647819327387291E-2</v>
      </c>
      <c r="M37" s="10"/>
      <c r="N37" s="169" vm="269">
        <f ca="1"/>
        <v>45139</v>
      </c>
      <c r="O37" s="169" vm="273">
        <f ca="1"/>
        <v>13.54</v>
      </c>
      <c r="P37" s="4">
        <f t="shared" ca="1" si="3"/>
        <v>6.1960784313725425E-2</v>
      </c>
      <c r="Q37" s="10"/>
      <c r="R37" s="169" vm="269">
        <f ca="1"/>
        <v>45139</v>
      </c>
      <c r="S37" s="169" vm="274">
        <f ca="1"/>
        <v>4.01</v>
      </c>
      <c r="T37" s="4">
        <f t="shared" ca="1" si="4"/>
        <v>-5.8685446009389672E-2</v>
      </c>
      <c r="U37" s="10"/>
      <c r="V37" s="169" vm="269">
        <f ca="1"/>
        <v>45139</v>
      </c>
      <c r="W37" s="169" vm="275">
        <f ca="1"/>
        <v>5.63</v>
      </c>
      <c r="X37" s="4">
        <f t="shared" ca="1" si="5"/>
        <v>0.12151394422310764</v>
      </c>
      <c r="Y37" s="10"/>
      <c r="Z37" s="169" vm="269">
        <f ca="1"/>
        <v>45139</v>
      </c>
      <c r="AA37" s="169" vm="276">
        <f ca="1"/>
        <v>102.18</v>
      </c>
      <c r="AB37" s="4">
        <f t="shared" ca="1" si="6"/>
        <v>-3.3393245672121721E-2</v>
      </c>
      <c r="AC37" s="10"/>
      <c r="AD37" s="169" vm="269">
        <f ca="1"/>
        <v>45139</v>
      </c>
      <c r="AE37" s="169" vm="277">
        <f ca="1"/>
        <v>1.58</v>
      </c>
      <c r="AF37" s="4">
        <f t="shared" ca="1" si="7"/>
        <v>-0.13661202185792348</v>
      </c>
      <c r="AG37" s="10"/>
    </row>
    <row r="38" spans="1:33" x14ac:dyDescent="0.3">
      <c r="A38">
        <v>32</v>
      </c>
      <c r="B38" s="169" vm="278">
        <f ca="1"/>
        <v>45170</v>
      </c>
      <c r="C38" s="169" vm="279">
        <f ca="1"/>
        <v>83.39</v>
      </c>
      <c r="D38" s="4">
        <f t="shared" ca="1" si="0"/>
        <v>0.13734315330060023</v>
      </c>
      <c r="E38" s="10"/>
      <c r="F38" s="169" vm="278">
        <f ca="1"/>
        <v>45170</v>
      </c>
      <c r="G38" s="169" vm="280">
        <f ca="1"/>
        <v>250.8</v>
      </c>
      <c r="H38" s="4">
        <f t="shared" ca="1" si="1"/>
        <v>-8.3098746024201961E-2</v>
      </c>
      <c r="I38" s="10"/>
      <c r="J38" s="169" vm="278">
        <f ca="1"/>
        <v>45170</v>
      </c>
      <c r="K38" s="169" vm="281">
        <f ca="1"/>
        <v>112.43</v>
      </c>
      <c r="L38" s="4">
        <f t="shared" ca="1" si="2"/>
        <v>-0.10127897681854507</v>
      </c>
      <c r="M38" s="10"/>
      <c r="N38" s="169" vm="278">
        <f ca="1"/>
        <v>45170</v>
      </c>
      <c r="O38" s="169" vm="282">
        <f ca="1"/>
        <v>12.39</v>
      </c>
      <c r="P38" s="4">
        <f t="shared" ca="1" si="3"/>
        <v>-8.493353028064983E-2</v>
      </c>
      <c r="Q38" s="10"/>
      <c r="R38" s="169" vm="278">
        <f ca="1"/>
        <v>45170</v>
      </c>
      <c r="S38" s="169" vm="154">
        <f ca="1"/>
        <v>3.85</v>
      </c>
      <c r="T38" s="4">
        <f t="shared" ca="1" si="4"/>
        <v>-3.9900249376558533E-2</v>
      </c>
      <c r="U38" s="10"/>
      <c r="V38" s="169" vm="278">
        <f ca="1"/>
        <v>45170</v>
      </c>
      <c r="W38" s="169" vm="283">
        <f ca="1"/>
        <v>5.46</v>
      </c>
      <c r="X38" s="4">
        <f t="shared" ca="1" si="5"/>
        <v>-3.0195381882770857E-2</v>
      </c>
      <c r="Y38" s="10"/>
      <c r="Z38" s="169" vm="278">
        <f ca="1"/>
        <v>45170</v>
      </c>
      <c r="AA38" s="169" vm="284">
        <f ca="1"/>
        <v>99.97</v>
      </c>
      <c r="AB38" s="4">
        <f t="shared" ca="1" si="6"/>
        <v>-2.1628498727735444E-2</v>
      </c>
      <c r="AC38" s="10"/>
      <c r="AD38" s="169" vm="278">
        <f ca="1"/>
        <v>45170</v>
      </c>
      <c r="AE38" s="169" vm="285">
        <f ca="1"/>
        <v>1.46</v>
      </c>
      <c r="AF38" s="4">
        <f t="shared" ca="1" si="7"/>
        <v>-7.5949367088607653E-2</v>
      </c>
      <c r="AG38" s="10"/>
    </row>
    <row r="39" spans="1:33" x14ac:dyDescent="0.3">
      <c r="A39">
        <v>33</v>
      </c>
      <c r="B39" s="169" vm="286">
        <f ca="1"/>
        <v>45200</v>
      </c>
      <c r="C39" s="169" vm="287">
        <f ca="1"/>
        <v>74.540000000000006</v>
      </c>
      <c r="D39" s="4">
        <f t="shared" ca="1" si="0"/>
        <v>-0.10612783307350994</v>
      </c>
      <c r="E39" s="10"/>
      <c r="F39" s="169" vm="286">
        <f ca="1"/>
        <v>45200</v>
      </c>
      <c r="G39" s="169" vm="288">
        <f ca="1"/>
        <v>232.35</v>
      </c>
      <c r="H39" s="4">
        <f t="shared" ca="1" si="1"/>
        <v>-7.3564593301435471E-2</v>
      </c>
      <c r="I39" s="10"/>
      <c r="J39" s="169" vm="286">
        <f ca="1"/>
        <v>45200</v>
      </c>
      <c r="K39" s="169" vm="289">
        <f ca="1"/>
        <v>106.69</v>
      </c>
      <c r="L39" s="4">
        <f t="shared" ca="1" si="2"/>
        <v>-5.1053989148803776E-2</v>
      </c>
      <c r="M39" s="10"/>
      <c r="N39" s="169" vm="286">
        <f ca="1"/>
        <v>45200</v>
      </c>
      <c r="O39" s="169" vm="290">
        <f ca="1"/>
        <v>11.75</v>
      </c>
      <c r="P39" s="4">
        <f t="shared" ca="1" si="3"/>
        <v>-5.1654560129136447E-2</v>
      </c>
      <c r="Q39" s="10"/>
      <c r="R39" s="169" vm="286">
        <f ca="1"/>
        <v>45200</v>
      </c>
      <c r="S39" s="169" vm="291">
        <f ca="1"/>
        <v>3.81</v>
      </c>
      <c r="T39" s="4">
        <f t="shared" ca="1" si="4"/>
        <v>-1.0389610389610398E-2</v>
      </c>
      <c r="U39" s="10"/>
      <c r="V39" s="169" vm="286">
        <f ca="1"/>
        <v>45200</v>
      </c>
      <c r="W39" s="169" vm="292">
        <f ca="1"/>
        <v>5.18</v>
      </c>
      <c r="X39" s="4">
        <f t="shared" ca="1" si="5"/>
        <v>-5.1282051282051329E-2</v>
      </c>
      <c r="Y39" s="10"/>
      <c r="Z39" s="169" vm="286">
        <f ca="1"/>
        <v>45200</v>
      </c>
      <c r="AA39" s="169" vm="293">
        <f ca="1"/>
        <v>96.56</v>
      </c>
      <c r="AB39" s="4">
        <f t="shared" ca="1" si="6"/>
        <v>-3.4110233069920941E-2</v>
      </c>
      <c r="AC39" s="10"/>
      <c r="AD39" s="169" vm="286">
        <f ca="1"/>
        <v>45200</v>
      </c>
      <c r="AE39" s="169" vm="294">
        <f ca="1"/>
        <v>1.29</v>
      </c>
      <c r="AF39" s="4">
        <f t="shared" ca="1" si="7"/>
        <v>-0.11643835616438351</v>
      </c>
      <c r="AG39" s="10"/>
    </row>
    <row r="40" spans="1:33" x14ac:dyDescent="0.3">
      <c r="A40">
        <v>34</v>
      </c>
      <c r="B40" s="169" vm="295">
        <f ca="1"/>
        <v>45231</v>
      </c>
      <c r="C40" s="169" vm="296">
        <f ca="1"/>
        <v>88.41</v>
      </c>
      <c r="D40" s="4">
        <f t="shared" ca="1" si="0"/>
        <v>0.18607459082371866</v>
      </c>
      <c r="E40" s="10"/>
      <c r="F40" s="169" vm="295">
        <f ca="1"/>
        <v>45231</v>
      </c>
      <c r="G40" s="169" vm="297">
        <f ca="1"/>
        <v>262.23</v>
      </c>
      <c r="H40" s="4">
        <f t="shared" ca="1" si="1"/>
        <v>0.12859909619109114</v>
      </c>
      <c r="I40" s="10"/>
      <c r="J40" s="169" vm="295">
        <f ca="1"/>
        <v>45231</v>
      </c>
      <c r="K40" s="169" vm="298">
        <f ca="1"/>
        <v>103.05</v>
      </c>
      <c r="L40" s="4">
        <f t="shared" ca="1" si="2"/>
        <v>-3.4117536788827452E-2</v>
      </c>
      <c r="M40" s="10"/>
      <c r="N40" s="169" vm="295">
        <f ca="1"/>
        <v>45231</v>
      </c>
      <c r="O40" s="169" vm="299">
        <f ca="1"/>
        <v>13.03</v>
      </c>
      <c r="P40" s="4">
        <f t="shared" ca="1" si="3"/>
        <v>0.1089361702127659</v>
      </c>
      <c r="Q40" s="10"/>
      <c r="R40" s="169" vm="295">
        <f ca="1"/>
        <v>45231</v>
      </c>
      <c r="S40" s="169" vm="86">
        <f ca="1"/>
        <v>3.82</v>
      </c>
      <c r="T40" s="4">
        <f t="shared" ca="1" si="4"/>
        <v>2.6246719160104427E-3</v>
      </c>
      <c r="U40" s="10"/>
      <c r="V40" s="169" vm="295">
        <f ca="1"/>
        <v>45231</v>
      </c>
      <c r="W40" s="169" vm="300">
        <f ca="1"/>
        <v>4.72</v>
      </c>
      <c r="X40" s="4">
        <f t="shared" ca="1" si="5"/>
        <v>-8.8803088803088806E-2</v>
      </c>
      <c r="Y40" s="10"/>
      <c r="Z40" s="169" vm="295">
        <f ca="1"/>
        <v>45231</v>
      </c>
      <c r="AA40" s="169" vm="301">
        <f ca="1"/>
        <v>104.66</v>
      </c>
      <c r="AB40" s="4">
        <f t="shared" ca="1" si="6"/>
        <v>8.3885666942833406E-2</v>
      </c>
      <c r="AC40" s="10"/>
      <c r="AD40" s="169" vm="295">
        <f ca="1"/>
        <v>45231</v>
      </c>
      <c r="AE40" s="169" vm="157">
        <f ca="1"/>
        <v>1.51</v>
      </c>
      <c r="AF40" s="4">
        <f t="shared" ca="1" si="7"/>
        <v>0.1705426356589147</v>
      </c>
      <c r="AG40" s="10"/>
    </row>
    <row r="41" spans="1:33" x14ac:dyDescent="0.3">
      <c r="A41">
        <v>35</v>
      </c>
      <c r="B41" s="169" vm="302">
        <f ca="1"/>
        <v>45261</v>
      </c>
      <c r="C41" s="169" vm="303">
        <f ca="1"/>
        <v>95.83</v>
      </c>
      <c r="D41" s="4">
        <f t="shared" ca="1" si="0"/>
        <v>8.3927157561361862E-2</v>
      </c>
      <c r="E41" s="10"/>
      <c r="F41" s="169" vm="302">
        <f ca="1"/>
        <v>45261</v>
      </c>
      <c r="G41" s="169" vm="304">
        <f ca="1"/>
        <v>286.64999999999998</v>
      </c>
      <c r="H41" s="4">
        <f t="shared" ca="1" si="1"/>
        <v>9.3124356480951673E-2</v>
      </c>
      <c r="I41" s="10"/>
      <c r="J41" s="169" vm="302">
        <f ca="1"/>
        <v>45261</v>
      </c>
      <c r="K41" s="169" vm="305">
        <f ca="1"/>
        <v>112.3</v>
      </c>
      <c r="L41" s="4">
        <f t="shared" ca="1" si="2"/>
        <v>8.9762251334303739E-2</v>
      </c>
      <c r="M41" s="10"/>
      <c r="N41" s="169" vm="302">
        <f ca="1"/>
        <v>45261</v>
      </c>
      <c r="O41" s="169" vm="306">
        <f ca="1"/>
        <v>13.73</v>
      </c>
      <c r="P41" s="4">
        <f t="shared" ca="1" si="3"/>
        <v>5.3722179585571843E-2</v>
      </c>
      <c r="Q41" s="10"/>
      <c r="R41" s="169" vm="302">
        <f ca="1"/>
        <v>45261</v>
      </c>
      <c r="S41" s="169" vm="119">
        <f ca="1"/>
        <v>3.96</v>
      </c>
      <c r="T41" s="4">
        <f t="shared" ca="1" si="4"/>
        <v>3.6649214659685896E-2</v>
      </c>
      <c r="U41" s="10"/>
      <c r="V41" s="169" vm="302">
        <f ca="1"/>
        <v>45261</v>
      </c>
      <c r="W41" s="169" vm="292">
        <f ca="1"/>
        <v>5.18</v>
      </c>
      <c r="X41" s="4">
        <f t="shared" ca="1" si="5"/>
        <v>9.7457627118644072E-2</v>
      </c>
      <c r="Y41" s="10"/>
      <c r="Z41" s="169" vm="302">
        <f ca="1"/>
        <v>45261</v>
      </c>
      <c r="AA41" s="169" vm="307">
        <f ca="1"/>
        <v>111.8</v>
      </c>
      <c r="AB41" s="4">
        <f t="shared" ca="1" si="6"/>
        <v>6.8220905790177727E-2</v>
      </c>
      <c r="AC41" s="10"/>
      <c r="AD41" s="169" vm="302">
        <f ca="1"/>
        <v>45261</v>
      </c>
      <c r="AE41" s="169" vm="308">
        <f ca="1"/>
        <v>1.56</v>
      </c>
      <c r="AF41" s="4">
        <f t="shared" ca="1" si="7"/>
        <v>3.3112582781456984E-2</v>
      </c>
      <c r="AG41" s="10"/>
    </row>
    <row r="42" spans="1:33" x14ac:dyDescent="0.3">
      <c r="A42">
        <v>36</v>
      </c>
      <c r="B42" s="169" vm="309">
        <f ca="1"/>
        <v>45292</v>
      </c>
      <c r="C42" s="169" vm="310">
        <f ca="1"/>
        <v>101.56</v>
      </c>
      <c r="D42" s="4">
        <f t="shared" ca="1" si="0"/>
        <v>5.9793384117708487E-2</v>
      </c>
      <c r="E42" s="10"/>
      <c r="F42" s="169" vm="309">
        <f ca="1"/>
        <v>45292</v>
      </c>
      <c r="G42" s="169" vm="311">
        <f ca="1"/>
        <v>301.7</v>
      </c>
      <c r="H42" s="4">
        <f t="shared" ca="1" si="1"/>
        <v>5.2503052503052546E-2</v>
      </c>
      <c r="I42" s="10"/>
      <c r="J42" s="169" vm="309">
        <f ca="1"/>
        <v>45292</v>
      </c>
      <c r="K42" s="169" vm="312">
        <f ca="1"/>
        <v>110.79</v>
      </c>
      <c r="L42" s="4">
        <f t="shared" ca="1" si="2"/>
        <v>-1.3446126447016838E-2</v>
      </c>
      <c r="M42" s="10"/>
      <c r="N42" s="169" vm="309">
        <f ca="1"/>
        <v>45292</v>
      </c>
      <c r="O42" s="169" vm="313">
        <f ca="1"/>
        <v>14.02</v>
      </c>
      <c r="P42" s="4">
        <f t="shared" ca="1" si="3"/>
        <v>2.1121631463947497E-2</v>
      </c>
      <c r="Q42" s="10"/>
      <c r="R42" s="169" vm="309">
        <f ca="1"/>
        <v>45292</v>
      </c>
      <c r="S42" s="169" vm="136">
        <f ca="1"/>
        <v>4.04</v>
      </c>
      <c r="T42" s="4">
        <f t="shared" ca="1" si="4"/>
        <v>2.0202020202020221E-2</v>
      </c>
      <c r="U42" s="10"/>
      <c r="V42" s="169" vm="309">
        <f ca="1"/>
        <v>45292</v>
      </c>
      <c r="W42" s="169" vm="314">
        <f ca="1"/>
        <v>5.29</v>
      </c>
      <c r="X42" s="4">
        <f t="shared" ca="1" si="5"/>
        <v>2.1235521235521297E-2</v>
      </c>
      <c r="Y42" s="10"/>
      <c r="Z42" s="169" vm="309">
        <f ca="1"/>
        <v>45292</v>
      </c>
      <c r="AA42" s="169" vm="315">
        <f ca="1"/>
        <v>117.53</v>
      </c>
      <c r="AB42" s="4">
        <f t="shared" ca="1" si="6"/>
        <v>5.1252236135957106E-2</v>
      </c>
      <c r="AC42" s="10"/>
      <c r="AD42" s="169" vm="309">
        <f ca="1"/>
        <v>45292</v>
      </c>
      <c r="AE42" s="169" vm="316">
        <f ca="1"/>
        <v>1.615</v>
      </c>
      <c r="AF42" s="4">
        <f t="shared" ca="1" si="7"/>
        <v>3.5256410256410214E-2</v>
      </c>
      <c r="AG42" s="10"/>
    </row>
    <row r="43" spans="1:33" x14ac:dyDescent="0.3">
      <c r="A43">
        <v>37</v>
      </c>
      <c r="B43" s="169" vm="317">
        <f ca="1"/>
        <v>45323</v>
      </c>
      <c r="C43" s="169" vm="318">
        <f ca="1"/>
        <v>103.82</v>
      </c>
      <c r="D43" s="4">
        <f t="shared" ca="1" si="0"/>
        <v>2.2252855454903415E-2</v>
      </c>
      <c r="E43" s="10"/>
      <c r="F43" s="169" vm="317">
        <f ca="1"/>
        <v>45323</v>
      </c>
      <c r="G43" s="169" vm="319">
        <f ca="1"/>
        <v>286.24</v>
      </c>
      <c r="H43" s="4">
        <f t="shared" ca="1" si="1"/>
        <v>-5.1242956579383429E-2</v>
      </c>
      <c r="I43" s="10"/>
      <c r="J43" s="169" vm="317">
        <f ca="1"/>
        <v>45323</v>
      </c>
      <c r="K43" s="169" vm="320">
        <f ca="1"/>
        <v>127.31</v>
      </c>
      <c r="L43" s="4">
        <f t="shared" ca="1" si="2"/>
        <v>0.14911093058940333</v>
      </c>
      <c r="M43" s="10"/>
      <c r="N43" s="169" vm="317">
        <f ca="1"/>
        <v>45323</v>
      </c>
      <c r="O43" s="169" vm="321">
        <f ca="1"/>
        <v>17.649999999999999</v>
      </c>
      <c r="P43" s="4">
        <f t="shared" ca="1" si="3"/>
        <v>0.2589158345221112</v>
      </c>
      <c r="Q43" s="10"/>
      <c r="R43" s="169" vm="317">
        <f ca="1"/>
        <v>45323</v>
      </c>
      <c r="S43" s="169" vm="86">
        <f ca="1"/>
        <v>3.82</v>
      </c>
      <c r="T43" s="4">
        <f t="shared" ca="1" si="4"/>
        <v>-5.4455445544554504E-2</v>
      </c>
      <c r="U43" s="10"/>
      <c r="V43" s="169" vm="317">
        <f ca="1"/>
        <v>45323</v>
      </c>
      <c r="W43" s="169" vm="322">
        <f ca="1"/>
        <v>4.6900000000000004</v>
      </c>
      <c r="X43" s="4">
        <f t="shared" ca="1" si="5"/>
        <v>-0.11342155009451789</v>
      </c>
      <c r="Y43" s="10"/>
      <c r="Z43" s="169" vm="317">
        <f ca="1"/>
        <v>45323</v>
      </c>
      <c r="AA43" s="169" vm="323">
        <f ca="1"/>
        <v>116.41</v>
      </c>
      <c r="AB43" s="4">
        <f t="shared" ca="1" si="6"/>
        <v>-9.5294818344252921E-3</v>
      </c>
      <c r="AC43" s="10"/>
      <c r="AD43" s="169" vm="317">
        <f ca="1"/>
        <v>45323</v>
      </c>
      <c r="AE43" s="169" vm="233">
        <f ca="1"/>
        <v>1.49</v>
      </c>
      <c r="AF43" s="4">
        <f t="shared" ca="1" si="7"/>
        <v>-7.7399380804953566E-2</v>
      </c>
      <c r="AG43" s="10"/>
    </row>
    <row r="44" spans="1:33" x14ac:dyDescent="0.3">
      <c r="A44">
        <v>38</v>
      </c>
      <c r="B44" s="169" vm="324">
        <f ca="1"/>
        <v>45352</v>
      </c>
      <c r="C44" s="169" vm="325">
        <f ca="1"/>
        <v>103.75</v>
      </c>
      <c r="D44" s="4">
        <f t="shared" ca="1" si="0"/>
        <v>-6.7424388364470411E-4</v>
      </c>
      <c r="E44" s="10"/>
      <c r="F44" s="169" vm="324">
        <f ca="1"/>
        <v>45352</v>
      </c>
      <c r="G44" s="169" vm="326">
        <f ca="1"/>
        <v>287.92</v>
      </c>
      <c r="H44" s="4">
        <f t="shared" ca="1" si="1"/>
        <v>5.8692006707658142E-3</v>
      </c>
      <c r="I44" s="10"/>
      <c r="J44" s="169" vm="324">
        <f ca="1"/>
        <v>45352</v>
      </c>
      <c r="K44" s="169" vm="327">
        <f ca="1"/>
        <v>133.32</v>
      </c>
      <c r="L44" s="4">
        <f t="shared" ca="1" si="2"/>
        <v>4.7207603487550001E-2</v>
      </c>
      <c r="M44" s="10"/>
      <c r="N44" s="169" vm="324">
        <f ca="1"/>
        <v>45352</v>
      </c>
      <c r="O44" s="169" vm="328">
        <f ca="1"/>
        <v>17.79</v>
      </c>
      <c r="P44" s="4">
        <f t="shared" ca="1" si="3"/>
        <v>7.9320113314447927E-3</v>
      </c>
      <c r="Q44" s="10"/>
      <c r="R44" s="169" vm="324">
        <f ca="1"/>
        <v>45352</v>
      </c>
      <c r="S44" s="169" vm="329">
        <f ca="1"/>
        <v>3.86</v>
      </c>
      <c r="T44" s="4">
        <f t="shared" ca="1" si="4"/>
        <v>1.0471204188481685E-2</v>
      </c>
      <c r="U44" s="10"/>
      <c r="V44" s="169" vm="324">
        <f ca="1"/>
        <v>45352</v>
      </c>
      <c r="W44" s="169" vm="330">
        <f ca="1"/>
        <v>4.51</v>
      </c>
      <c r="X44" s="4">
        <f t="shared" ca="1" si="5"/>
        <v>-3.8379530916844477E-2</v>
      </c>
      <c r="Y44" s="10"/>
      <c r="Z44" s="169" vm="324">
        <f ca="1"/>
        <v>45352</v>
      </c>
      <c r="AA44" s="169" vm="331">
        <f ca="1"/>
        <v>120.34</v>
      </c>
      <c r="AB44" s="4">
        <f t="shared" ca="1" si="6"/>
        <v>3.3759986255476396E-2</v>
      </c>
      <c r="AC44" s="10"/>
      <c r="AD44" s="169" vm="324">
        <f ca="1"/>
        <v>45352</v>
      </c>
      <c r="AE44" s="169" vm="332">
        <f ca="1"/>
        <v>1.63</v>
      </c>
      <c r="AF44" s="4">
        <f t="shared" ca="1" si="7"/>
        <v>9.3959731543624095E-2</v>
      </c>
      <c r="AG44" s="10"/>
    </row>
    <row r="45" spans="1:33" x14ac:dyDescent="0.3">
      <c r="A45">
        <v>39</v>
      </c>
      <c r="B45" s="169" vm="333">
        <f ca="1"/>
        <v>45383</v>
      </c>
      <c r="C45" s="169" vm="334">
        <f ca="1"/>
        <v>111.41</v>
      </c>
      <c r="D45" s="4">
        <f t="shared" ca="1" si="0"/>
        <v>7.3831325301204787E-2</v>
      </c>
      <c r="E45" s="10"/>
      <c r="F45" s="169" vm="333">
        <f ca="1"/>
        <v>45383</v>
      </c>
      <c r="G45" s="169" vm="335">
        <f ca="1"/>
        <v>276.76</v>
      </c>
      <c r="H45" s="4">
        <f t="shared" ca="1" si="1"/>
        <v>-3.8760766879688886E-2</v>
      </c>
      <c r="I45" s="10"/>
      <c r="J45" s="169" vm="333">
        <f ca="1"/>
        <v>45383</v>
      </c>
      <c r="K45" s="169" vm="336">
        <f ca="1"/>
        <v>122.08</v>
      </c>
      <c r="L45" s="4">
        <f t="shared" ca="1" si="2"/>
        <v>-8.4308430843084273E-2</v>
      </c>
      <c r="M45" s="10"/>
      <c r="N45" s="169" vm="333">
        <f ca="1"/>
        <v>45383</v>
      </c>
      <c r="O45" s="169" vm="337">
        <f ca="1"/>
        <v>16.690000000000001</v>
      </c>
      <c r="P45" s="4">
        <f t="shared" ca="1" si="3"/>
        <v>-6.1832490163012808E-2</v>
      </c>
      <c r="Q45" s="10"/>
      <c r="R45" s="169" vm="333">
        <f ca="1"/>
        <v>45383</v>
      </c>
      <c r="S45" s="169" vm="338">
        <f ca="1"/>
        <v>3.67</v>
      </c>
      <c r="T45" s="4">
        <f t="shared" ca="1" si="4"/>
        <v>-4.9222797927461127E-2</v>
      </c>
      <c r="U45" s="10"/>
      <c r="V45" s="169" vm="333">
        <f ca="1"/>
        <v>45383</v>
      </c>
      <c r="W45" s="169" vm="330">
        <f ca="1"/>
        <v>4.51</v>
      </c>
      <c r="X45" s="4">
        <f t="shared" ca="1" si="5"/>
        <v>0</v>
      </c>
      <c r="Y45" s="10"/>
      <c r="Z45" s="169" vm="333">
        <f ca="1"/>
        <v>45383</v>
      </c>
      <c r="AA45" s="169" vm="339">
        <f ca="1"/>
        <v>114.54</v>
      </c>
      <c r="AB45" s="4">
        <f t="shared" ca="1" si="6"/>
        <v>-4.8196775801894604E-2</v>
      </c>
      <c r="AC45" s="10"/>
      <c r="AD45" s="169" vm="333">
        <f ca="1"/>
        <v>45383</v>
      </c>
      <c r="AE45" s="169" vm="340">
        <f ca="1"/>
        <v>1.5</v>
      </c>
      <c r="AF45" s="4">
        <f t="shared" ca="1" si="7"/>
        <v>-7.9754601226993807E-2</v>
      </c>
      <c r="AG45" s="10"/>
    </row>
    <row r="46" spans="1:33" x14ac:dyDescent="0.3">
      <c r="A46">
        <v>40</v>
      </c>
      <c r="B46" s="169" vm="341">
        <f ca="1"/>
        <v>45413</v>
      </c>
      <c r="C46" s="169" vm="342">
        <f ca="1"/>
        <v>120.12</v>
      </c>
      <c r="D46" s="4">
        <f t="shared" ca="1" si="0"/>
        <v>7.8179696616102759E-2</v>
      </c>
      <c r="E46" s="10"/>
      <c r="F46" s="169" vm="341">
        <f ca="1"/>
        <v>45413</v>
      </c>
      <c r="G46" s="169" vm="343">
        <f ca="1"/>
        <v>280.10000000000002</v>
      </c>
      <c r="H46" s="4">
        <f t="shared" ca="1" si="1"/>
        <v>1.2068217950571006E-2</v>
      </c>
      <c r="I46" s="10"/>
      <c r="J46" s="169" vm="341">
        <f ca="1"/>
        <v>45413</v>
      </c>
      <c r="K46" s="169" vm="344">
        <f ca="1"/>
        <v>135</v>
      </c>
      <c r="L46" s="4">
        <f t="shared" ca="1" si="2"/>
        <v>0.10583224115334208</v>
      </c>
      <c r="M46" s="10"/>
      <c r="N46" s="169" vm="341">
        <f ca="1"/>
        <v>45413</v>
      </c>
      <c r="O46" s="169" vm="328">
        <f ca="1"/>
        <v>17.79</v>
      </c>
      <c r="P46" s="4">
        <f t="shared" ca="1" si="3"/>
        <v>6.5907729179149055E-2</v>
      </c>
      <c r="Q46" s="10"/>
      <c r="R46" s="169" vm="341">
        <f ca="1"/>
        <v>45413</v>
      </c>
      <c r="S46" s="169" vm="345">
        <f ca="1"/>
        <v>3.47</v>
      </c>
      <c r="T46" s="4">
        <f t="shared" ca="1" si="4"/>
        <v>-5.449591280653944E-2</v>
      </c>
      <c r="U46" s="10"/>
      <c r="V46" s="169" vm="341">
        <f ca="1"/>
        <v>45413</v>
      </c>
      <c r="W46" s="169" vm="346">
        <f ca="1"/>
        <v>4.6500000000000004</v>
      </c>
      <c r="X46" s="4">
        <f t="shared" ca="1" si="5"/>
        <v>3.1042128603104339E-2</v>
      </c>
      <c r="Y46" s="10"/>
      <c r="Z46" s="169" vm="341">
        <f ca="1"/>
        <v>45413</v>
      </c>
      <c r="AA46" s="169" vm="347">
        <f ca="1"/>
        <v>119.54</v>
      </c>
      <c r="AB46" s="4">
        <f t="shared" ca="1" si="6"/>
        <v>4.365287235900122E-2</v>
      </c>
      <c r="AC46" s="10"/>
      <c r="AD46" s="169" vm="341">
        <f ca="1"/>
        <v>45413</v>
      </c>
      <c r="AE46" s="169" vm="348">
        <f ca="1"/>
        <v>1.45</v>
      </c>
      <c r="AF46" s="4">
        <f t="shared" ca="1" si="7"/>
        <v>-3.3333333333333361E-2</v>
      </c>
      <c r="AG46" s="10"/>
    </row>
    <row r="47" spans="1:33" x14ac:dyDescent="0.3">
      <c r="A47">
        <v>41</v>
      </c>
      <c r="B47" s="169" vm="349">
        <f ca="1"/>
        <v>45444</v>
      </c>
      <c r="C47" s="169" vm="350">
        <f ca="1"/>
        <v>143.26</v>
      </c>
      <c r="D47" s="4">
        <f t="shared" ca="1" si="0"/>
        <v>0.19264069264069253</v>
      </c>
      <c r="E47" s="10"/>
      <c r="F47" s="169" vm="349">
        <f ca="1"/>
        <v>45444</v>
      </c>
      <c r="G47" s="169" vm="351">
        <f ca="1"/>
        <v>295.20999999999998</v>
      </c>
      <c r="H47" s="4">
        <f t="shared" ca="1" si="1"/>
        <v>5.394501963584418E-2</v>
      </c>
      <c r="I47" s="10"/>
      <c r="J47" s="169" vm="349">
        <f ca="1"/>
        <v>45444</v>
      </c>
      <c r="K47" s="169" vm="352">
        <f ca="1"/>
        <v>136.4</v>
      </c>
      <c r="L47" s="4">
        <f t="shared" ca="1" si="2"/>
        <v>1.0370370370370412E-2</v>
      </c>
      <c r="M47" s="10"/>
      <c r="N47" s="169" vm="349">
        <f ca="1"/>
        <v>45444</v>
      </c>
      <c r="O47" s="169" vm="353">
        <f ca="1"/>
        <v>17.63</v>
      </c>
      <c r="P47" s="4">
        <f t="shared" ca="1" si="3"/>
        <v>-8.9938167509837075E-3</v>
      </c>
      <c r="Q47" s="10"/>
      <c r="R47" s="169" vm="349">
        <f ca="1"/>
        <v>45444</v>
      </c>
      <c r="S47" s="169" vm="354">
        <f ca="1"/>
        <v>3.62</v>
      </c>
      <c r="T47" s="4">
        <f t="shared" ca="1" si="4"/>
        <v>4.3227665706051847E-2</v>
      </c>
      <c r="U47" s="10"/>
      <c r="V47" s="169" vm="349">
        <f ca="1"/>
        <v>45444</v>
      </c>
      <c r="W47" s="169" vm="355">
        <f ca="1"/>
        <v>4.58</v>
      </c>
      <c r="X47" s="4">
        <f t="shared" ca="1" si="5"/>
        <v>-1.5053763440860275E-2</v>
      </c>
      <c r="Y47" s="10"/>
      <c r="Z47" s="169" vm="349">
        <f ca="1"/>
        <v>45444</v>
      </c>
      <c r="AA47" s="169" vm="356">
        <f ca="1"/>
        <v>127.38</v>
      </c>
      <c r="AB47" s="4">
        <f t="shared" ca="1" si="6"/>
        <v>6.5584741509118194E-2</v>
      </c>
      <c r="AC47" s="10"/>
      <c r="AD47" s="169" vm="349">
        <f ca="1"/>
        <v>45444</v>
      </c>
      <c r="AE47" s="169" vm="357">
        <f ca="1"/>
        <v>1.38</v>
      </c>
      <c r="AF47" s="4">
        <f t="shared" ca="1" si="7"/>
        <v>-4.8275862068965558E-2</v>
      </c>
      <c r="AG47" s="10"/>
    </row>
    <row r="48" spans="1:33" x14ac:dyDescent="0.3">
      <c r="A48">
        <v>42</v>
      </c>
      <c r="B48" s="169" vm="358">
        <f ca="1"/>
        <v>45474</v>
      </c>
      <c r="C48" s="169" vm="359">
        <f ca="1"/>
        <v>143.76</v>
      </c>
      <c r="D48" s="4">
        <f t="shared" ca="1" si="0"/>
        <v>3.4901577551305321E-3</v>
      </c>
      <c r="E48" s="10"/>
      <c r="F48" s="169" vm="358">
        <f ca="1"/>
        <v>45474</v>
      </c>
      <c r="G48" s="169" vm="360">
        <f ca="1"/>
        <v>309.72000000000003</v>
      </c>
      <c r="H48" s="4">
        <f t="shared" ca="1" si="1"/>
        <v>4.9151451509095383E-2</v>
      </c>
      <c r="I48" s="10"/>
      <c r="J48" s="169" vm="358">
        <f ca="1"/>
        <v>45474</v>
      </c>
      <c r="K48" s="169" vm="361">
        <f ca="1"/>
        <v>138.18</v>
      </c>
      <c r="L48" s="4">
        <f t="shared" ca="1" si="2"/>
        <v>1.3049853372434025E-2</v>
      </c>
      <c r="M48" s="10"/>
      <c r="N48" s="169" vm="358">
        <f ca="1"/>
        <v>45474</v>
      </c>
      <c r="O48" s="169" vm="362">
        <f ca="1"/>
        <v>16.75</v>
      </c>
      <c r="P48" s="4">
        <f t="shared" ca="1" si="3"/>
        <v>-4.9914917753828648E-2</v>
      </c>
      <c r="Q48" s="10"/>
      <c r="R48" s="169" vm="358">
        <f ca="1"/>
        <v>45474</v>
      </c>
      <c r="S48" s="169" vm="363">
        <f ca="1"/>
        <v>3.94</v>
      </c>
      <c r="T48" s="4">
        <f t="shared" ca="1" si="4"/>
        <v>8.8397790055248573E-2</v>
      </c>
      <c r="U48" s="10"/>
      <c r="V48" s="169" vm="358">
        <f ca="1"/>
        <v>45474</v>
      </c>
      <c r="W48" s="169" vm="364">
        <f ca="1"/>
        <v>4.75</v>
      </c>
      <c r="X48" s="4">
        <f t="shared" ca="1" si="5"/>
        <v>3.7117903930130987E-2</v>
      </c>
      <c r="Y48" s="10"/>
      <c r="Z48" s="169" vm="358">
        <f ca="1"/>
        <v>45474</v>
      </c>
      <c r="AA48" s="169" vm="365">
        <f ca="1"/>
        <v>137.49</v>
      </c>
      <c r="AB48" s="4">
        <f t="shared" ca="1" si="6"/>
        <v>7.9368817710786729E-2</v>
      </c>
      <c r="AC48" s="10"/>
      <c r="AD48" s="169" vm="358">
        <f ca="1"/>
        <v>45474</v>
      </c>
      <c r="AE48" s="169" vm="366">
        <f ca="1"/>
        <v>1.4650000000000001</v>
      </c>
      <c r="AF48" s="4">
        <f t="shared" ca="1" si="7"/>
        <v>6.1594202898550866E-2</v>
      </c>
      <c r="AG48" s="10"/>
    </row>
    <row r="49" spans="1:33" x14ac:dyDescent="0.3">
      <c r="A49">
        <v>43</v>
      </c>
      <c r="B49" s="169" vm="367">
        <f ca="1"/>
        <v>45505</v>
      </c>
      <c r="C49" s="169" vm="368">
        <f ca="1"/>
        <v>150.69999999999999</v>
      </c>
      <c r="D49" s="4">
        <f t="shared" ca="1" si="0"/>
        <v>4.8274902615470218E-2</v>
      </c>
      <c r="E49" s="10"/>
      <c r="F49" s="169" vm="367">
        <f ca="1"/>
        <v>45505</v>
      </c>
      <c r="G49" s="169" vm="369">
        <f ca="1"/>
        <v>307.16000000000003</v>
      </c>
      <c r="H49" s="4">
        <f t="shared" ca="1" si="1"/>
        <v>-8.2655301562701861E-3</v>
      </c>
      <c r="I49" s="10"/>
      <c r="J49" s="169" vm="367">
        <f ca="1"/>
        <v>45505</v>
      </c>
      <c r="K49" s="169" vm="370">
        <f ca="1"/>
        <v>142.84</v>
      </c>
      <c r="L49" s="4">
        <f t="shared" ca="1" si="2"/>
        <v>3.3724127949051934E-2</v>
      </c>
      <c r="M49" s="10"/>
      <c r="N49" s="169" vm="367">
        <f ca="1"/>
        <v>45505</v>
      </c>
      <c r="O49" s="169" vm="371">
        <f ca="1"/>
        <v>16.95</v>
      </c>
      <c r="P49" s="4">
        <f t="shared" ca="1" si="3"/>
        <v>1.1940298507462643E-2</v>
      </c>
      <c r="Q49" s="10"/>
      <c r="R49" s="169" vm="367">
        <f ca="1"/>
        <v>45505</v>
      </c>
      <c r="S49" s="169" vm="77">
        <f ca="1"/>
        <v>3.93</v>
      </c>
      <c r="T49" s="4">
        <f t="shared" ca="1" si="4"/>
        <v>-2.5380710659897937E-3</v>
      </c>
      <c r="U49" s="10"/>
      <c r="V49" s="169" vm="367">
        <f ca="1"/>
        <v>45505</v>
      </c>
      <c r="W49" s="169" vm="372">
        <f ca="1"/>
        <v>4.96</v>
      </c>
      <c r="X49" s="4">
        <f t="shared" ca="1" si="5"/>
        <v>4.4210526315789464E-2</v>
      </c>
      <c r="Y49" s="10"/>
      <c r="Z49" s="169" vm="367">
        <f ca="1"/>
        <v>45505</v>
      </c>
      <c r="AA49" s="169" vm="373">
        <f ca="1"/>
        <v>139.5</v>
      </c>
      <c r="AB49" s="4">
        <f t="shared" ca="1" si="6"/>
        <v>1.4619245036002551E-2</v>
      </c>
      <c r="AC49" s="10"/>
      <c r="AD49" s="169" vm="367">
        <f ca="1"/>
        <v>45505</v>
      </c>
      <c r="AE49" s="169" vm="374">
        <f ca="1"/>
        <v>1.6</v>
      </c>
      <c r="AF49" s="4">
        <f t="shared" ca="1" si="7"/>
        <v>9.2150170648464161E-2</v>
      </c>
      <c r="AG49" s="10"/>
    </row>
    <row r="50" spans="1:33" x14ac:dyDescent="0.3">
      <c r="A50">
        <v>44</v>
      </c>
      <c r="B50" s="169" vm="375">
        <f ca="1"/>
        <v>45536</v>
      </c>
      <c r="C50" s="169" vm="376">
        <f ca="1"/>
        <v>178.25</v>
      </c>
      <c r="D50" s="4">
        <f t="shared" ca="1" si="0"/>
        <v>0.18281353682813545</v>
      </c>
      <c r="E50" s="10"/>
      <c r="F50" s="169" vm="375">
        <f ca="1"/>
        <v>45536</v>
      </c>
      <c r="G50" s="169" vm="377">
        <f ca="1"/>
        <v>286.27999999999997</v>
      </c>
      <c r="H50" s="4">
        <f t="shared" ca="1" si="1"/>
        <v>-6.7977601250162945E-2</v>
      </c>
      <c r="I50" s="10"/>
      <c r="J50" s="169" vm="375">
        <f ca="1"/>
        <v>45536</v>
      </c>
      <c r="K50" s="169" vm="378">
        <f ca="1"/>
        <v>149.44</v>
      </c>
      <c r="L50" s="4">
        <f t="shared" ca="1" si="2"/>
        <v>4.6205544665359803E-2</v>
      </c>
      <c r="M50" s="10"/>
      <c r="N50" s="169" vm="375">
        <f ca="1"/>
        <v>45536</v>
      </c>
      <c r="O50" s="169" vm="379">
        <f ca="1"/>
        <v>17.5</v>
      </c>
      <c r="P50" s="4">
        <f t="shared" ca="1" si="3"/>
        <v>3.2448377581120985E-2</v>
      </c>
      <c r="Q50" s="10"/>
      <c r="R50" s="169" vm="375">
        <f ca="1"/>
        <v>45536</v>
      </c>
      <c r="S50" s="169" vm="145">
        <f ca="1"/>
        <v>3.88</v>
      </c>
      <c r="T50" s="4">
        <f t="shared" ca="1" si="4"/>
        <v>-1.2722646310432637E-2</v>
      </c>
      <c r="U50" s="10"/>
      <c r="V50" s="169" vm="375">
        <f ca="1"/>
        <v>45536</v>
      </c>
      <c r="W50" s="169" vm="380">
        <f ca="1"/>
        <v>4.92</v>
      </c>
      <c r="X50" s="4">
        <f t="shared" ca="1" si="5"/>
        <v>-8.0645161290322648E-3</v>
      </c>
      <c r="Y50" s="10"/>
      <c r="Z50" s="169" vm="375">
        <f ca="1"/>
        <v>45536</v>
      </c>
      <c r="AA50" s="169" vm="381">
        <f ca="1"/>
        <v>135.38999999999999</v>
      </c>
      <c r="AB50" s="4">
        <f t="shared" ca="1" si="6"/>
        <v>-2.9462365591397949E-2</v>
      </c>
      <c r="AC50" s="10"/>
      <c r="AD50" s="169" vm="375">
        <f ca="1"/>
        <v>45536</v>
      </c>
      <c r="AE50" s="169" vm="382">
        <f ca="1"/>
        <v>1.595</v>
      </c>
      <c r="AF50" s="4">
        <f t="shared" ca="1" si="7"/>
        <v>-3.1250000000000722E-3</v>
      </c>
      <c r="AG50" s="10"/>
    </row>
    <row r="51" spans="1:33" x14ac:dyDescent="0.3">
      <c r="A51">
        <v>45</v>
      </c>
      <c r="B51" s="169" vm="383">
        <f ca="1"/>
        <v>45566</v>
      </c>
      <c r="C51" s="169" vm="384">
        <f ca="1"/>
        <v>194.83</v>
      </c>
      <c r="D51" s="4">
        <f t="shared" ca="1" si="0"/>
        <v>9.3015427769986045E-2</v>
      </c>
      <c r="E51" s="10"/>
      <c r="F51" s="169" vm="383">
        <f ca="1"/>
        <v>45566</v>
      </c>
      <c r="G51" s="169" vm="385">
        <f ca="1"/>
        <v>286.95</v>
      </c>
      <c r="H51" s="4">
        <f t="shared" ca="1" si="1"/>
        <v>2.3403660751712169E-3</v>
      </c>
      <c r="I51" s="10"/>
      <c r="J51" s="169" vm="383">
        <f ca="1"/>
        <v>45566</v>
      </c>
      <c r="K51" s="169" vm="386">
        <f ca="1"/>
        <v>149.5</v>
      </c>
      <c r="L51" s="4">
        <f t="shared" ca="1" si="2"/>
        <v>4.0149892933620367E-4</v>
      </c>
      <c r="M51" s="10"/>
      <c r="N51" s="169" vm="383">
        <f ca="1"/>
        <v>45566</v>
      </c>
      <c r="O51" s="169" vm="387">
        <f ca="1"/>
        <v>16.420000000000002</v>
      </c>
      <c r="P51" s="4">
        <f t="shared" ca="1" si="3"/>
        <v>-6.1714285714285617E-2</v>
      </c>
      <c r="Q51" s="10"/>
      <c r="R51" s="169" vm="383">
        <f ca="1"/>
        <v>45566</v>
      </c>
      <c r="S51" s="169" vm="86">
        <f ca="1"/>
        <v>3.82</v>
      </c>
      <c r="T51" s="4">
        <f t="shared" ca="1" si="4"/>
        <v>-1.546391752577321E-2</v>
      </c>
      <c r="U51" s="10"/>
      <c r="V51" s="169" vm="383">
        <f ca="1"/>
        <v>45566</v>
      </c>
      <c r="W51" s="169" vm="388">
        <f ca="1"/>
        <v>4.5199999999999996</v>
      </c>
      <c r="X51" s="4">
        <f t="shared" ca="1" si="5"/>
        <v>-8.1300813008130149E-2</v>
      </c>
      <c r="Y51" s="10"/>
      <c r="Z51" s="169" vm="383">
        <f ca="1"/>
        <v>45566</v>
      </c>
      <c r="AA51" s="169" vm="389">
        <f ca="1"/>
        <v>142.75</v>
      </c>
      <c r="AB51" s="4">
        <f t="shared" ca="1" si="6"/>
        <v>5.4361474259546599E-2</v>
      </c>
      <c r="AC51" s="10"/>
      <c r="AD51" s="169" vm="383">
        <f ca="1"/>
        <v>45566</v>
      </c>
      <c r="AE51" s="169" vm="374">
        <f ca="1"/>
        <v>1.6</v>
      </c>
      <c r="AF51" s="4">
        <f t="shared" ca="1" si="7"/>
        <v>3.1347962382445864E-3</v>
      </c>
      <c r="AG51" s="10"/>
    </row>
    <row r="52" spans="1:33" x14ac:dyDescent="0.3">
      <c r="A52">
        <v>46</v>
      </c>
      <c r="B52" s="169" vm="390">
        <f ca="1"/>
        <v>45597</v>
      </c>
      <c r="C52" s="169" vm="391">
        <f ca="1"/>
        <v>251.89</v>
      </c>
      <c r="D52" s="4">
        <f t="shared" ca="1" si="0"/>
        <v>0.2928707077965404</v>
      </c>
      <c r="E52" s="10"/>
      <c r="F52" s="169" vm="390">
        <f ca="1"/>
        <v>45597</v>
      </c>
      <c r="G52" s="169" vm="392">
        <f ca="1"/>
        <v>282.22000000000003</v>
      </c>
      <c r="H52" s="4">
        <f t="shared" ca="1" si="1"/>
        <v>-1.6483707963059632E-2</v>
      </c>
      <c r="I52" s="10"/>
      <c r="J52" s="169" vm="390">
        <f ca="1"/>
        <v>45597</v>
      </c>
      <c r="K52" s="169" vm="393">
        <f ca="1"/>
        <v>173.85</v>
      </c>
      <c r="L52" s="4">
        <f t="shared" ca="1" si="2"/>
        <v>0.16287625418060198</v>
      </c>
      <c r="M52" s="10"/>
      <c r="N52" s="169" vm="390">
        <f ca="1"/>
        <v>45597</v>
      </c>
      <c r="O52" s="169" vm="394">
        <f ca="1"/>
        <v>16.27</v>
      </c>
      <c r="P52" s="4">
        <f t="shared" ca="1" si="3"/>
        <v>-9.1352009744215656E-3</v>
      </c>
      <c r="Q52" s="10"/>
      <c r="R52" s="169" vm="390">
        <f ca="1"/>
        <v>45597</v>
      </c>
      <c r="S52" s="169" vm="363">
        <f ca="1"/>
        <v>3.94</v>
      </c>
      <c r="T52" s="4">
        <f t="shared" ca="1" si="4"/>
        <v>3.1413612565445052E-2</v>
      </c>
      <c r="U52" s="10"/>
      <c r="V52" s="169" vm="390">
        <f ca="1"/>
        <v>45597</v>
      </c>
      <c r="W52" s="169" vm="395">
        <f ca="1"/>
        <v>4.5</v>
      </c>
      <c r="X52" s="4">
        <f t="shared" ca="1" si="5"/>
        <v>-4.4247787610618532E-3</v>
      </c>
      <c r="Y52" s="10"/>
      <c r="Z52" s="169" vm="390">
        <f ca="1"/>
        <v>45597</v>
      </c>
      <c r="AA52" s="169" vm="396">
        <f ca="1"/>
        <v>158.58000000000001</v>
      </c>
      <c r="AB52" s="4">
        <f t="shared" ca="1" si="6"/>
        <v>0.11089316987740815</v>
      </c>
      <c r="AC52" s="10"/>
      <c r="AD52" s="169" vm="390">
        <f ca="1"/>
        <v>45597</v>
      </c>
      <c r="AE52" s="169" vm="397">
        <f ca="1"/>
        <v>1.5349999999999999</v>
      </c>
      <c r="AF52" s="4">
        <f t="shared" ca="1" si="7"/>
        <v>-4.0625000000000105E-2</v>
      </c>
      <c r="AG52" s="10"/>
    </row>
    <row r="53" spans="1:33" x14ac:dyDescent="0.3">
      <c r="A53">
        <v>47</v>
      </c>
      <c r="B53" s="169" vm="398">
        <f ca="1"/>
        <v>45627</v>
      </c>
      <c r="C53" s="169" vm="399">
        <f ca="1"/>
        <v>250.12</v>
      </c>
      <c r="D53" s="4">
        <f t="shared" ca="1" si="0"/>
        <v>-7.0268768113064504E-3</v>
      </c>
      <c r="E53" s="10"/>
      <c r="F53" s="169" vm="398">
        <f ca="1"/>
        <v>45627</v>
      </c>
      <c r="G53" s="169" vm="400">
        <f ca="1"/>
        <v>281.58</v>
      </c>
      <c r="H53" s="4">
        <f t="shared" ca="1" si="1"/>
        <v>-2.2677343916095356E-3</v>
      </c>
      <c r="I53" s="10"/>
      <c r="J53" s="169" vm="398">
        <f ca="1"/>
        <v>45627</v>
      </c>
      <c r="K53" s="169" vm="401">
        <f ca="1"/>
        <v>168.56</v>
      </c>
      <c r="L53" s="4">
        <f t="shared" ca="1" si="2"/>
        <v>-3.042853034224902E-2</v>
      </c>
      <c r="M53" s="10"/>
      <c r="N53" s="169" vm="398">
        <f ca="1"/>
        <v>45627</v>
      </c>
      <c r="O53" s="169" vm="402">
        <f ca="1"/>
        <v>15.07</v>
      </c>
      <c r="P53" s="4">
        <f t="shared" ca="1" si="3"/>
        <v>-7.3755377996312182E-2</v>
      </c>
      <c r="Q53" s="10"/>
      <c r="R53" s="169" vm="398">
        <f ca="1"/>
        <v>45627</v>
      </c>
      <c r="S53" s="169" vm="274">
        <f ca="1"/>
        <v>4.01</v>
      </c>
      <c r="T53" s="4">
        <f t="shared" ca="1" si="4"/>
        <v>1.7766497461928894E-2</v>
      </c>
      <c r="U53" s="10"/>
      <c r="V53" s="169" vm="398">
        <f ca="1"/>
        <v>45627</v>
      </c>
      <c r="W53" s="169" vm="403">
        <f ca="1"/>
        <v>4.49</v>
      </c>
      <c r="X53" s="4">
        <f t="shared" ca="1" si="5"/>
        <v>-2.2222222222221749E-3</v>
      </c>
      <c r="Y53" s="10"/>
      <c r="Z53" s="169" vm="398">
        <f ca="1"/>
        <v>45627</v>
      </c>
      <c r="AA53" s="169" vm="404">
        <f ca="1"/>
        <v>153.25</v>
      </c>
      <c r="AB53" s="4">
        <f t="shared" ca="1" si="6"/>
        <v>-3.3610795812839024E-2</v>
      </c>
      <c r="AC53" s="10"/>
      <c r="AD53" s="169" vm="398">
        <f ca="1"/>
        <v>45627</v>
      </c>
      <c r="AE53" s="169" vm="157">
        <f ca="1"/>
        <v>1.51</v>
      </c>
      <c r="AF53" s="4">
        <f t="shared" ca="1" si="7"/>
        <v>-1.6286644951140006E-2</v>
      </c>
      <c r="AG53" s="10"/>
    </row>
    <row r="54" spans="1:33" x14ac:dyDescent="0.3">
      <c r="A54">
        <v>48</v>
      </c>
      <c r="B54" s="169" vm="405">
        <f ca="1"/>
        <v>45658</v>
      </c>
      <c r="C54" s="169" vm="406">
        <f ca="1"/>
        <v>278.39999999999998</v>
      </c>
      <c r="D54" s="4">
        <f t="shared" ca="1" si="0"/>
        <v>0.11306572845034372</v>
      </c>
      <c r="E54" s="10"/>
      <c r="F54" s="169" vm="405">
        <f ca="1"/>
        <v>45658</v>
      </c>
      <c r="G54" s="169" vm="407">
        <f ca="1"/>
        <v>280.43</v>
      </c>
      <c r="H54" s="4">
        <f t="shared" ca="1" si="1"/>
        <v>-4.0840968818807348E-3</v>
      </c>
      <c r="I54" s="10"/>
      <c r="J54" s="169" vm="405">
        <f ca="1"/>
        <v>45658</v>
      </c>
      <c r="K54" s="169" vm="408">
        <f ca="1"/>
        <v>183.27</v>
      </c>
      <c r="L54" s="4">
        <f t="shared" ca="1" si="2"/>
        <v>8.7268628381585236E-2</v>
      </c>
      <c r="M54" s="10"/>
      <c r="N54" s="169" vm="405">
        <f ca="1"/>
        <v>45658</v>
      </c>
      <c r="O54" s="169" vm="409">
        <f ca="1"/>
        <v>14.85</v>
      </c>
      <c r="P54" s="4">
        <f t="shared" ca="1" si="3"/>
        <v>-1.4598540145985444E-2</v>
      </c>
      <c r="Q54" s="10"/>
      <c r="R54" s="169" vm="405">
        <f ca="1"/>
        <v>45658</v>
      </c>
      <c r="S54" s="169" vm="410">
        <f ca="1"/>
        <v>3.95</v>
      </c>
      <c r="T54" s="4">
        <f t="shared" ca="1" si="4"/>
        <v>-1.4962593516209379E-2</v>
      </c>
      <c r="U54" s="10"/>
      <c r="V54" s="169" vm="405">
        <f ca="1"/>
        <v>45658</v>
      </c>
      <c r="W54" s="169" vm="411">
        <f ca="1"/>
        <v>4.4000000000000004</v>
      </c>
      <c r="X54" s="4">
        <f t="shared" ca="1" si="5"/>
        <v>-2.0044543429844065E-2</v>
      </c>
      <c r="Y54" s="10"/>
      <c r="Z54" s="169" vm="405">
        <f ca="1"/>
        <v>45658</v>
      </c>
      <c r="AA54" s="169" vm="412">
        <f ca="1"/>
        <v>160.56</v>
      </c>
      <c r="AB54" s="4">
        <f t="shared" ca="1" si="6"/>
        <v>4.7699836867862985E-2</v>
      </c>
      <c r="AC54" s="10"/>
      <c r="AD54" s="169" vm="405">
        <f ca="1"/>
        <v>45658</v>
      </c>
      <c r="AE54" s="169" vm="413">
        <f ca="1"/>
        <v>1.65</v>
      </c>
      <c r="AF54" s="4">
        <f t="shared" ca="1" si="7"/>
        <v>9.2715231788079402E-2</v>
      </c>
      <c r="AG54" s="10"/>
    </row>
    <row r="55" spans="1:33" ht="26.25" customHeight="1" x14ac:dyDescent="0.3">
      <c r="B55" s="169"/>
      <c r="C55" s="169"/>
      <c r="D55" s="29">
        <f ca="1">AVERAGE(D7:D54)</f>
        <v>4.5530185933715182E-2</v>
      </c>
      <c r="G55"/>
      <c r="H55" s="31">
        <f ca="1">AVERAGE(H7:H54)</f>
        <v>1.8673008252727248E-3</v>
      </c>
      <c r="L55" s="30">
        <f ca="1">AVERAGE(L7:L54)</f>
        <v>1.1564818027837785E-2</v>
      </c>
      <c r="P55" s="31">
        <f ca="1">AVERAGE(P7:P54)</f>
        <v>8.4991829259354855E-3</v>
      </c>
      <c r="T55" s="31">
        <f ca="1">AVERAGE(T7:T54)</f>
        <v>5.5431375324955538E-3</v>
      </c>
      <c r="X55" s="31">
        <f ca="1">AVERAGE(X7:X54)</f>
        <v>-8.2112646701124111E-3</v>
      </c>
      <c r="AB55" s="32">
        <f ca="1">AVERAGE(AB7:AB54)</f>
        <v>1.563254330015652E-2</v>
      </c>
      <c r="AF55" s="31">
        <f ca="1">AVERAGE(AF7:AF54)</f>
        <v>-6.2336917618514712E-3</v>
      </c>
    </row>
    <row r="56" spans="1:33" ht="25.2" customHeight="1" x14ac:dyDescent="0.3"/>
  </sheetData>
  <sortState xmlns:xlrd2="http://schemas.microsoft.com/office/spreadsheetml/2017/richdata2" ref="AI22:AI39">
    <sortCondition ref="AI22:AI39"/>
  </sortState>
  <mergeCells count="16">
    <mergeCell ref="AN10:AN11"/>
    <mergeCell ref="AN12:AN13"/>
    <mergeCell ref="AM6:AM7"/>
    <mergeCell ref="AM8:AM9"/>
    <mergeCell ref="AM10:AM11"/>
    <mergeCell ref="AM12:AM13"/>
    <mergeCell ref="AN6:AN7"/>
    <mergeCell ref="V4:X4"/>
    <mergeCell ref="Z4:AB4"/>
    <mergeCell ref="AD4:AF4"/>
    <mergeCell ref="AN8:AN9"/>
    <mergeCell ref="B4:D4"/>
    <mergeCell ref="F4:H4"/>
    <mergeCell ref="J4:L4"/>
    <mergeCell ref="N4:P4"/>
    <mergeCell ref="R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V70"/>
  <sheetViews>
    <sheetView workbookViewId="0">
      <selection activeCell="M3" sqref="M3"/>
    </sheetView>
  </sheetViews>
  <sheetFormatPr defaultRowHeight="14.4" x14ac:dyDescent="0.3"/>
  <cols>
    <col min="1" max="1" width="5.6640625" customWidth="1"/>
    <col min="2" max="2" width="12.33203125" style="114" customWidth="1"/>
    <col min="3" max="3" width="12.44140625" style="115" customWidth="1"/>
    <col min="4" max="4" width="11.109375" style="115" customWidth="1"/>
    <col min="5" max="5" width="13.21875" style="115" customWidth="1"/>
    <col min="6" max="6" width="11.21875" style="114" customWidth="1"/>
    <col min="7" max="7" width="11.109375" style="114" customWidth="1"/>
    <col min="8" max="8" width="10.33203125" style="114" customWidth="1"/>
    <col min="9" max="9" width="14.88671875" style="114" customWidth="1"/>
    <col min="10" max="10" width="13.44140625" customWidth="1"/>
    <col min="13" max="13" width="18.109375" customWidth="1"/>
    <col min="14" max="14" width="31.6640625" customWidth="1"/>
    <col min="15" max="15" width="23" customWidth="1"/>
    <col min="16" max="16" width="19.21875" customWidth="1"/>
    <col min="17" max="17" width="21.44140625" customWidth="1"/>
    <col min="18" max="18" width="20.109375" customWidth="1"/>
    <col min="19" max="19" width="20.6640625" customWidth="1"/>
    <col min="20" max="20" width="20.21875" customWidth="1"/>
    <col min="21" max="21" width="21.5546875" customWidth="1"/>
    <col min="22" max="22" width="22.88671875" customWidth="1"/>
  </cols>
  <sheetData>
    <row r="2" spans="1:20" ht="15" thickBot="1" x14ac:dyDescent="0.35">
      <c r="C2" s="135" t="s">
        <v>54</v>
      </c>
    </row>
    <row r="3" spans="1:20" x14ac:dyDescent="0.3">
      <c r="B3" s="294" t="s">
        <v>235</v>
      </c>
      <c r="C3" s="116" t="s">
        <v>37</v>
      </c>
      <c r="D3" s="117" t="s">
        <v>38</v>
      </c>
      <c r="E3" s="118" t="s">
        <v>39</v>
      </c>
      <c r="F3" s="118" t="s">
        <v>40</v>
      </c>
      <c r="G3" s="119" t="s">
        <v>41</v>
      </c>
      <c r="H3" s="119" t="s">
        <v>42</v>
      </c>
      <c r="I3" s="120" t="s">
        <v>43</v>
      </c>
      <c r="J3" s="120" t="s">
        <v>44</v>
      </c>
    </row>
    <row r="4" spans="1:20" x14ac:dyDescent="0.3">
      <c r="B4" s="294"/>
      <c r="C4" s="121">
        <v>1</v>
      </c>
      <c r="D4" s="121">
        <v>2</v>
      </c>
      <c r="E4" s="121">
        <v>3</v>
      </c>
      <c r="F4" s="121">
        <v>4</v>
      </c>
      <c r="G4" s="121">
        <v>5</v>
      </c>
      <c r="H4" s="121">
        <v>6</v>
      </c>
      <c r="I4" s="121">
        <v>7</v>
      </c>
      <c r="J4" s="121">
        <v>8</v>
      </c>
      <c r="N4" s="135" t="s">
        <v>55</v>
      </c>
    </row>
    <row r="5" spans="1:20" ht="87" thickBot="1" x14ac:dyDescent="0.35">
      <c r="B5" s="115" t="s">
        <v>0</v>
      </c>
      <c r="C5" s="136" t="s">
        <v>65</v>
      </c>
      <c r="D5" s="136" t="s">
        <v>103</v>
      </c>
      <c r="E5" s="136" t="s">
        <v>66</v>
      </c>
      <c r="F5" s="137" t="s">
        <v>90</v>
      </c>
      <c r="G5" s="136" t="s">
        <v>67</v>
      </c>
      <c r="H5" s="137" t="s">
        <v>91</v>
      </c>
      <c r="I5" s="138" t="s">
        <v>68</v>
      </c>
      <c r="J5" s="138" t="s">
        <v>92</v>
      </c>
      <c r="M5" s="139" t="s">
        <v>1</v>
      </c>
      <c r="N5" s="139" t="s">
        <v>2</v>
      </c>
      <c r="O5" s="139" t="s">
        <v>3</v>
      </c>
      <c r="P5" s="140" t="s">
        <v>34</v>
      </c>
      <c r="Q5" s="140" t="s">
        <v>35</v>
      </c>
      <c r="R5" s="141" t="s">
        <v>4</v>
      </c>
      <c r="S5" s="142" t="s">
        <v>15</v>
      </c>
      <c r="T5" s="142" t="s">
        <v>30</v>
      </c>
    </row>
    <row r="6" spans="1:20" x14ac:dyDescent="0.3">
      <c r="B6" t="s">
        <v>61</v>
      </c>
      <c r="C6" s="143" t="s">
        <v>60</v>
      </c>
      <c r="D6" s="144" t="s">
        <v>101</v>
      </c>
      <c r="E6" s="143" t="s">
        <v>64</v>
      </c>
      <c r="F6" s="145" t="s">
        <v>95</v>
      </c>
      <c r="G6" s="146" t="s">
        <v>62</v>
      </c>
      <c r="H6" s="144" t="s">
        <v>93</v>
      </c>
      <c r="I6" s="146" t="s">
        <v>63</v>
      </c>
      <c r="J6" s="146" t="s">
        <v>94</v>
      </c>
      <c r="M6" s="175" t="s">
        <v>70</v>
      </c>
      <c r="N6" s="148" t="s">
        <v>71</v>
      </c>
      <c r="O6" s="296" t="s">
        <v>9</v>
      </c>
      <c r="P6" s="289" t="s">
        <v>45</v>
      </c>
      <c r="Q6" s="122" t="s">
        <v>37</v>
      </c>
      <c r="R6" s="149">
        <f ca="1">C56</f>
        <v>4.5530185933715182E-2</v>
      </c>
      <c r="S6" s="149">
        <f ca="1">C57</f>
        <v>0.10936385592244387</v>
      </c>
      <c r="T6" s="150" t="s">
        <v>13</v>
      </c>
    </row>
    <row r="7" spans="1:20" x14ac:dyDescent="0.3">
      <c r="A7">
        <v>0</v>
      </c>
      <c r="B7" vm="1">
        <v>44197</v>
      </c>
      <c r="C7" s="151"/>
      <c r="D7" s="152"/>
      <c r="E7" s="153"/>
      <c r="F7" s="154"/>
      <c r="G7" s="151"/>
      <c r="H7" s="152"/>
      <c r="I7" s="153"/>
      <c r="J7" s="155"/>
      <c r="M7" s="176" t="s">
        <v>101</v>
      </c>
      <c r="N7" s="181" t="s">
        <v>104</v>
      </c>
      <c r="O7" s="296"/>
      <c r="P7" s="289"/>
      <c r="Q7" s="122" t="s">
        <v>38</v>
      </c>
      <c r="R7" s="149">
        <f ca="1">D56</f>
        <v>1.8673008252727248E-3</v>
      </c>
      <c r="S7" s="149">
        <f ca="1">D57</f>
        <v>4.9762203934419269E-2</v>
      </c>
      <c r="T7" s="150" t="s">
        <v>11</v>
      </c>
    </row>
    <row r="8" spans="1:20" x14ac:dyDescent="0.3">
      <c r="A8">
        <v>1</v>
      </c>
      <c r="B8" vm="10">
        <v>44228</v>
      </c>
      <c r="C8" s="15">
        <f ca="1">'1.a Compute rate of return'!D7</f>
        <v>3.5247432306255787E-2</v>
      </c>
      <c r="D8" s="16">
        <f ca="1">'1.a Compute rate of return'!H7</f>
        <v>-3.3600765493890961E-2</v>
      </c>
      <c r="E8" s="15">
        <f ca="1">'1.a Compute rate of return'!L7</f>
        <v>-8.8228501039340837E-2</v>
      </c>
      <c r="F8" s="16">
        <f ca="1">'1.a Compute rate of return'!P7</f>
        <v>-3.4482758620689689E-2</v>
      </c>
      <c r="G8" s="21">
        <f ca="1">'1.a Compute rate of return'!T7</f>
        <v>-1.2820512820512832E-2</v>
      </c>
      <c r="H8" s="16">
        <f ca="1">'1.a Compute rate of return'!X7</f>
        <v>-8.1081081081081155E-2</v>
      </c>
      <c r="I8" s="21">
        <f ca="1">'1.a Compute rate of return'!AB7</f>
        <v>-2.3350496946473509E-2</v>
      </c>
      <c r="J8" s="16">
        <f ca="1">'1.a Compute rate of return'!AF7</f>
        <v>2.5547445255474394E-2</v>
      </c>
      <c r="M8" s="177" t="s">
        <v>72</v>
      </c>
      <c r="N8" s="158" t="s">
        <v>73</v>
      </c>
      <c r="O8" s="297" t="s">
        <v>10</v>
      </c>
      <c r="P8" s="279" t="s">
        <v>46</v>
      </c>
      <c r="Q8" s="123" t="s">
        <v>39</v>
      </c>
      <c r="R8" s="159">
        <f ca="1">E56</f>
        <v>1.1564818027837785E-2</v>
      </c>
      <c r="S8" s="159">
        <f ca="1">E57</f>
        <v>9.4151228850625754E-2</v>
      </c>
      <c r="T8" s="160" t="s">
        <v>13</v>
      </c>
    </row>
    <row r="9" spans="1:20" x14ac:dyDescent="0.3">
      <c r="A9">
        <v>2</v>
      </c>
      <c r="B9" vm="19">
        <v>44256</v>
      </c>
      <c r="C9" s="15">
        <f ca="1">'1.a Compute rate of return'!D8</f>
        <v>-6.809470124013535E-2</v>
      </c>
      <c r="D9" s="16">
        <f ca="1">'1.a Compute rate of return'!H8</f>
        <v>7.8449293575536105E-3</v>
      </c>
      <c r="E9" s="15">
        <f ca="1">'1.a Compute rate of return'!L8</f>
        <v>6.8394832390441557E-2</v>
      </c>
      <c r="F9" s="16">
        <f ca="1">'1.a Compute rate of return'!P8</f>
        <v>-6.964285714285709E-2</v>
      </c>
      <c r="G9" s="21">
        <f ca="1">'1.a Compute rate of return'!T8</f>
        <v>0.10389610389610385</v>
      </c>
      <c r="H9" s="16">
        <f ca="1">'1.a Compute rate of return'!X8</f>
        <v>-6.9117647058823492E-2</v>
      </c>
      <c r="I9" s="21">
        <f ca="1">'1.a Compute rate of return'!AB8</f>
        <v>5.5664541441883174E-2</v>
      </c>
      <c r="J9" s="16">
        <f ca="1">'1.a Compute rate of return'!AF8</f>
        <v>-6.4056939501779417E-2</v>
      </c>
      <c r="M9" s="178" t="s">
        <v>95</v>
      </c>
      <c r="N9" s="181" t="s">
        <v>82</v>
      </c>
      <c r="O9" s="297"/>
      <c r="P9" s="279"/>
      <c r="Q9" s="123" t="s">
        <v>40</v>
      </c>
      <c r="R9" s="159">
        <f ca="1">F56</f>
        <v>8.4991829259354855E-3</v>
      </c>
      <c r="S9" s="159">
        <f ca="1">F57</f>
        <v>8.3522880627140153E-2</v>
      </c>
      <c r="T9" s="160" t="s">
        <v>12</v>
      </c>
    </row>
    <row r="10" spans="1:20" x14ac:dyDescent="0.3">
      <c r="A10">
        <v>3</v>
      </c>
      <c r="B10" vm="28">
        <v>44287</v>
      </c>
      <c r="C10" s="15">
        <f ca="1">'1.a Compute rate of return'!D9</f>
        <v>0.142269537865957</v>
      </c>
      <c r="D10" s="16">
        <f ca="1">'1.a Compute rate of return'!H9</f>
        <v>2.4598526355564136E-2</v>
      </c>
      <c r="E10" s="15">
        <f ca="1">'1.a Compute rate of return'!L9</f>
        <v>0.11878605864221925</v>
      </c>
      <c r="F10" s="16">
        <f ca="1">'1.a Compute rate of return'!P9</f>
        <v>0.11228406909788867</v>
      </c>
      <c r="G10" s="21">
        <f ca="1">'1.a Compute rate of return'!T9</f>
        <v>-2.9411764705881728E-3</v>
      </c>
      <c r="H10" s="16">
        <f ca="1">'1.a Compute rate of return'!X9</f>
        <v>-0.12954186413902058</v>
      </c>
      <c r="I10" s="21">
        <f ca="1">'1.a Compute rate of return'!AB9</f>
        <v>3.4146341463414775E-2</v>
      </c>
      <c r="J10" s="16">
        <f ca="1">'1.a Compute rate of return'!AF9</f>
        <v>7.2243346007604542E-2</v>
      </c>
      <c r="M10" s="175" t="s">
        <v>74</v>
      </c>
      <c r="N10" s="148" t="s">
        <v>75</v>
      </c>
      <c r="O10" s="298" t="s">
        <v>26</v>
      </c>
      <c r="P10" s="281" t="s">
        <v>47</v>
      </c>
      <c r="Q10" s="124" t="s">
        <v>41</v>
      </c>
      <c r="R10" s="161">
        <f ca="1">G56</f>
        <v>5.5431375324955538E-3</v>
      </c>
      <c r="S10" s="161">
        <f ca="1">G57</f>
        <v>3.5698466399920525E-2</v>
      </c>
      <c r="T10" s="162" t="s">
        <v>11</v>
      </c>
    </row>
    <row r="11" spans="1:20" x14ac:dyDescent="0.3">
      <c r="A11">
        <v>4</v>
      </c>
      <c r="B11" vm="37">
        <v>44317</v>
      </c>
      <c r="C11" s="15">
        <f ca="1">'1.a Compute rate of return'!D10</f>
        <v>-2.3300148273670863E-2</v>
      </c>
      <c r="D11" s="16">
        <f ca="1">'1.a Compute rate of return'!H10</f>
        <v>7.0253724738161799E-2</v>
      </c>
      <c r="E11" s="15">
        <f ca="1">'1.a Compute rate of return'!L10</f>
        <v>-6.2941508900819412E-2</v>
      </c>
      <c r="F11" s="16">
        <f ca="1">'1.a Compute rate of return'!P10</f>
        <v>-6.1259706643658249E-2</v>
      </c>
      <c r="G11" s="21">
        <f ca="1">'1.a Compute rate of return'!T10</f>
        <v>3.8348082595870171E-2</v>
      </c>
      <c r="H11" s="16">
        <f ca="1">'1.a Compute rate of return'!X10</f>
        <v>-5.4446460980036269E-2</v>
      </c>
      <c r="I11" s="21">
        <f ca="1">'1.a Compute rate of return'!AB10</f>
        <v>0.11994609164420476</v>
      </c>
      <c r="J11" s="16">
        <f ca="1">'1.a Compute rate of return'!AF10</f>
        <v>0</v>
      </c>
      <c r="M11" s="176" t="s">
        <v>93</v>
      </c>
      <c r="N11" s="181" t="s">
        <v>84</v>
      </c>
      <c r="O11" s="298"/>
      <c r="P11" s="281"/>
      <c r="Q11" s="124" t="s">
        <v>42</v>
      </c>
      <c r="R11" s="161">
        <f ca="1">H56</f>
        <v>-8.2112646701124111E-3</v>
      </c>
      <c r="S11" s="161">
        <f ca="1">H57</f>
        <v>7.254003966278906E-2</v>
      </c>
      <c r="T11" s="162" t="s">
        <v>12</v>
      </c>
    </row>
    <row r="12" spans="1:20" ht="16.8" customHeight="1" x14ac:dyDescent="0.3">
      <c r="A12">
        <v>5</v>
      </c>
      <c r="B12" vm="45">
        <v>44348</v>
      </c>
      <c r="C12" s="15">
        <f ca="1">'1.a Compute rate of return'!D11</f>
        <v>0.27347646931251357</v>
      </c>
      <c r="D12" s="16">
        <f ca="1">'1.a Compute rate of return'!H11</f>
        <v>-1.7297818820853805E-2</v>
      </c>
      <c r="E12" s="15">
        <f ca="1">'1.a Compute rate of return'!L11</f>
        <v>3.3546928006030818E-2</v>
      </c>
      <c r="F12" s="16">
        <f ca="1">'1.a Compute rate of return'!P11</f>
        <v>9.007352941176458E-2</v>
      </c>
      <c r="G12" s="21">
        <f ca="1">'1.a Compute rate of return'!T11</f>
        <v>6.8181818181818121E-2</v>
      </c>
      <c r="H12" s="16">
        <f ca="1">'1.a Compute rate of return'!X11</f>
        <v>0.20153550863723604</v>
      </c>
      <c r="I12" s="21">
        <f ca="1">'1.a Compute rate of return'!AB11</f>
        <v>1.5042117930205144E-3</v>
      </c>
      <c r="J12" s="16">
        <f ca="1">'1.a Compute rate of return'!AF11</f>
        <v>1.0638297872340514E-2</v>
      </c>
      <c r="M12" s="179" t="s">
        <v>63</v>
      </c>
      <c r="N12" s="158" t="s">
        <v>76</v>
      </c>
      <c r="O12" s="295" t="s">
        <v>20</v>
      </c>
      <c r="P12" s="282" t="s">
        <v>48</v>
      </c>
      <c r="Q12" s="125" t="s">
        <v>43</v>
      </c>
      <c r="R12" s="163">
        <f ca="1">I56</f>
        <v>1.563254330015652E-2</v>
      </c>
      <c r="S12" s="163">
        <f ca="1">I57</f>
        <v>6.2967475865032346E-2</v>
      </c>
      <c r="T12" s="164" t="s">
        <v>12</v>
      </c>
    </row>
    <row r="13" spans="1:20" x14ac:dyDescent="0.3">
      <c r="A13">
        <v>6</v>
      </c>
      <c r="B13" vm="54">
        <v>44378</v>
      </c>
      <c r="C13" s="15">
        <f ca="1">'1.a Compute rate of return'!D12</f>
        <v>-1.2602179836512295E-2</v>
      </c>
      <c r="D13" s="16">
        <f ca="1">'1.a Compute rate of return'!H12</f>
        <v>1.304393562186622E-2</v>
      </c>
      <c r="E13" s="15">
        <f ca="1">'1.a Compute rate of return'!L12</f>
        <v>2.3194748358862195E-2</v>
      </c>
      <c r="F13" s="16">
        <f ca="1">'1.a Compute rate of return'!P12</f>
        <v>7.5042158516020294E-2</v>
      </c>
      <c r="G13" s="21">
        <f ca="1">'1.a Compute rate of return'!T12</f>
        <v>5.3191489361702178E-3</v>
      </c>
      <c r="H13" s="16">
        <f ca="1">'1.a Compute rate of return'!X12</f>
        <v>-1.2779552715654964E-2</v>
      </c>
      <c r="I13" s="21">
        <f ca="1">'1.a Compute rate of return'!AB12</f>
        <v>-2.2028637228396803E-3</v>
      </c>
      <c r="J13" s="16">
        <f ca="1">'1.a Compute rate of return'!AF12</f>
        <v>-9.1228070175438672E-2</v>
      </c>
      <c r="M13" s="180" t="s">
        <v>94</v>
      </c>
      <c r="N13" s="165" t="s">
        <v>105</v>
      </c>
      <c r="O13" s="295"/>
      <c r="P13" s="282"/>
      <c r="Q13" s="125" t="s">
        <v>44</v>
      </c>
      <c r="R13" s="163">
        <f ca="1">J56</f>
        <v>-6.2336917618514712E-3</v>
      </c>
      <c r="S13" s="163">
        <f ca="1">J57</f>
        <v>9.3580805448198467E-2</v>
      </c>
      <c r="T13" s="164" t="s">
        <v>13</v>
      </c>
    </row>
    <row r="14" spans="1:20" x14ac:dyDescent="0.3">
      <c r="A14">
        <v>7</v>
      </c>
      <c r="B14" vm="63">
        <v>44409</v>
      </c>
      <c r="C14" s="15">
        <f ca="1">'1.a Compute rate of return'!D13</f>
        <v>8.7788892721628209E-2</v>
      </c>
      <c r="D14" s="16">
        <f ca="1">'1.a Compute rate of return'!H13</f>
        <v>7.9713405558824446E-2</v>
      </c>
      <c r="E14" s="15">
        <f ca="1">'1.a Compute rate of return'!L13</f>
        <v>8.2264043341887597E-2</v>
      </c>
      <c r="F14" s="16">
        <f ca="1">'1.a Compute rate of return'!P13</f>
        <v>3.8431372549019627E-2</v>
      </c>
      <c r="G14" s="21">
        <f ca="1">'1.a Compute rate of return'!T13</f>
        <v>1.5873015873015889E-2</v>
      </c>
      <c r="H14" s="16">
        <f ca="1">'1.a Compute rate of return'!X13</f>
        <v>-3.2362459546924878E-3</v>
      </c>
      <c r="I14" s="21">
        <f ca="1">'1.a Compute rate of return'!AB13</f>
        <v>4.7165077772202595E-3</v>
      </c>
      <c r="J14" s="16">
        <f ca="1">'1.a Compute rate of return'!AF13</f>
        <v>0.16988416988416988</v>
      </c>
    </row>
    <row r="15" spans="1:20" x14ac:dyDescent="0.3">
      <c r="A15">
        <v>8</v>
      </c>
      <c r="B15" vm="72">
        <v>44440</v>
      </c>
      <c r="C15" s="15">
        <f ca="1">'1.a Compute rate of return'!D14</f>
        <v>-0.13413667353733949</v>
      </c>
      <c r="D15" s="16">
        <f ca="1">'1.a Compute rate of return'!H14</f>
        <v>-5.9434506635891581E-2</v>
      </c>
      <c r="E15" s="15">
        <f ca="1">'1.a Compute rate of return'!L14</f>
        <v>-8.4442102489790505E-2</v>
      </c>
      <c r="F15" s="16">
        <f ca="1">'1.a Compute rate of return'!P14</f>
        <v>-9.1389728096676795E-2</v>
      </c>
      <c r="G15" s="21">
        <f ca="1">'1.a Compute rate of return'!T14</f>
        <v>2.343750000000008E-2</v>
      </c>
      <c r="H15" s="16">
        <f ca="1">'1.a Compute rate of return'!X14</f>
        <v>0.14610389610389601</v>
      </c>
      <c r="I15" s="21">
        <f ca="1">'1.a Compute rate of return'!AB14</f>
        <v>4.2049540551338332E-2</v>
      </c>
      <c r="J15" s="16">
        <f ca="1">'1.a Compute rate of return'!AF14</f>
        <v>-8.5808580858085751E-2</v>
      </c>
    </row>
    <row r="16" spans="1:20" ht="15" thickBot="1" x14ac:dyDescent="0.35">
      <c r="A16">
        <v>9</v>
      </c>
      <c r="B16" vm="81">
        <v>44470</v>
      </c>
      <c r="C16" s="15">
        <f ca="1">'1.a Compute rate of return'!D15</f>
        <v>-2.4354513825306689E-2</v>
      </c>
      <c r="D16" s="16">
        <f ca="1">'1.a Compute rate of return'!H15</f>
        <v>2.4164962508520901E-2</v>
      </c>
      <c r="E16" s="15">
        <f ca="1">'1.a Compute rate of return'!L15</f>
        <v>7.561151079136684E-2</v>
      </c>
      <c r="F16" s="16">
        <f ca="1">'1.a Compute rate of return'!P15</f>
        <v>-2.4106400665004087E-2</v>
      </c>
      <c r="G16" s="21">
        <f ca="1">'1.a Compute rate of return'!T15</f>
        <v>-2.7989821882951734E-2</v>
      </c>
      <c r="H16" s="16">
        <f ca="1">'1.a Compute rate of return'!X15</f>
        <v>-4.3909348441926295E-2</v>
      </c>
      <c r="I16" s="21">
        <f ca="1">'1.a Compute rate of return'!AB15</f>
        <v>3.3547397680437894E-3</v>
      </c>
      <c r="J16" s="16">
        <f ca="1">'1.a Compute rate of return'!AF15</f>
        <v>-5.054151624548741E-2</v>
      </c>
      <c r="N16" s="135" t="s">
        <v>56</v>
      </c>
    </row>
    <row r="17" spans="1:22" ht="13.8" customHeight="1" thickBot="1" x14ac:dyDescent="0.35">
      <c r="A17">
        <v>10</v>
      </c>
      <c r="B17" vm="89">
        <v>44501</v>
      </c>
      <c r="C17" s="15">
        <f ca="1">'1.a Compute rate of return'!D16</f>
        <v>0.17267267267267258</v>
      </c>
      <c r="D17" s="16">
        <f ca="1">'1.a Compute rate of return'!H16</f>
        <v>2.0965755931977807E-2</v>
      </c>
      <c r="E17" s="15">
        <f ca="1">'1.a Compute rate of return'!L16</f>
        <v>-3.1235368871647299E-2</v>
      </c>
      <c r="F17" s="16">
        <f ca="1">'1.a Compute rate of return'!P16</f>
        <v>3.0664395229982915E-2</v>
      </c>
      <c r="G17" s="21">
        <f ca="1">'1.a Compute rate of return'!T16</f>
        <v>6.5445026178010596E-2</v>
      </c>
      <c r="H17" s="16">
        <f ca="1">'1.a Compute rate of return'!X16</f>
        <v>0</v>
      </c>
      <c r="I17" s="21">
        <f ca="1">'1.a Compute rate of return'!AB16</f>
        <v>-0.10985861673672143</v>
      </c>
      <c r="J17" s="16">
        <f ca="1">'1.a Compute rate of return'!AF16</f>
        <v>2.6615969581749159E-2</v>
      </c>
      <c r="N17" s="293" t="s">
        <v>49</v>
      </c>
      <c r="O17" s="291"/>
      <c r="P17" s="290" t="s">
        <v>50</v>
      </c>
      <c r="Q17" s="291"/>
      <c r="R17" s="290" t="s">
        <v>51</v>
      </c>
      <c r="S17" s="292"/>
      <c r="T17" s="293" t="s">
        <v>52</v>
      </c>
      <c r="U17" s="291"/>
      <c r="V17" s="126"/>
    </row>
    <row r="18" spans="1:22" ht="13.8" customHeight="1" thickBot="1" x14ac:dyDescent="0.35">
      <c r="A18">
        <v>11</v>
      </c>
      <c r="B18" vm="97">
        <v>44531</v>
      </c>
      <c r="C18" s="15">
        <f ca="1">'1.a Compute rate of return'!D17</f>
        <v>-6.4020486555696466E-4</v>
      </c>
      <c r="D18" s="16">
        <f ca="1">'1.a Compute rate of return'!H17</f>
        <v>-5.2381107598031204E-2</v>
      </c>
      <c r="E18" s="15">
        <f ca="1">'1.a Compute rate of return'!L17</f>
        <v>-2.3474178403755909E-2</v>
      </c>
      <c r="F18" s="16">
        <f ca="1">'1.a Compute rate of return'!P17</f>
        <v>5.7024793388429709E-2</v>
      </c>
      <c r="G18" s="21">
        <f ca="1">'1.a Compute rate of return'!T17</f>
        <v>2.7027027027026886E-2</v>
      </c>
      <c r="H18" s="16">
        <f ca="1">'1.a Compute rate of return'!X17</f>
        <v>-0.12740740740740744</v>
      </c>
      <c r="I18" s="21">
        <f ca="1">'1.a Compute rate of return'!AB17</f>
        <v>8.3923588752951195E-2</v>
      </c>
      <c r="J18" s="16">
        <f ca="1">'1.a Compute rate of return'!AF17</f>
        <v>0</v>
      </c>
      <c r="M18" s="126"/>
      <c r="N18" s="127" t="s">
        <v>37</v>
      </c>
      <c r="O18" s="128" t="s">
        <v>38</v>
      </c>
      <c r="P18" s="128" t="s">
        <v>39</v>
      </c>
      <c r="Q18" s="128" t="s">
        <v>40</v>
      </c>
      <c r="R18" s="128" t="s">
        <v>41</v>
      </c>
      <c r="S18" s="128" t="s">
        <v>42</v>
      </c>
      <c r="T18" s="128" t="s">
        <v>43</v>
      </c>
      <c r="U18" s="128" t="s">
        <v>44</v>
      </c>
      <c r="V18" s="129" t="s">
        <v>32</v>
      </c>
    </row>
    <row r="19" spans="1:22" ht="15" customHeight="1" thickBot="1" x14ac:dyDescent="0.35">
      <c r="A19">
        <v>12</v>
      </c>
      <c r="B19" vm="105">
        <v>44562</v>
      </c>
      <c r="C19" s="15">
        <f ca="1">'1.a Compute rate of return'!D18</f>
        <v>-0.27770659833440098</v>
      </c>
      <c r="D19" s="16">
        <f ca="1">'1.a Compute rate of return'!H18</f>
        <v>-0.10446477710511834</v>
      </c>
      <c r="E19" s="15">
        <f ca="1">'1.a Compute rate of return'!L18</f>
        <v>-0.20171097285067874</v>
      </c>
      <c r="F19" s="16">
        <f ca="1">'1.a Compute rate of return'!P18</f>
        <v>-0.16575449569976539</v>
      </c>
      <c r="G19" s="21">
        <f ca="1">'1.a Compute rate of return'!T18</f>
        <v>-6.2200956937798993E-2</v>
      </c>
      <c r="H19" s="16">
        <f ca="1">'1.a Compute rate of return'!X18</f>
        <v>1.6977928692700638E-3</v>
      </c>
      <c r="I19" s="21">
        <f ca="1">'1.a Compute rate of return'!AB18</f>
        <v>-7.1881188118811931E-2</v>
      </c>
      <c r="J19" s="16">
        <f ca="1">'1.a Compute rate of return'!AF18</f>
        <v>-0.18518518518518517</v>
      </c>
      <c r="M19" s="130" t="s">
        <v>11</v>
      </c>
      <c r="N19" s="131"/>
      <c r="O19" s="22" t="s">
        <v>104</v>
      </c>
      <c r="P19" s="131"/>
      <c r="Q19" s="22"/>
      <c r="R19" s="131" t="s">
        <v>108</v>
      </c>
      <c r="S19" s="23"/>
      <c r="T19" s="132"/>
      <c r="U19" s="22"/>
      <c r="V19" s="129" t="s">
        <v>33</v>
      </c>
    </row>
    <row r="20" spans="1:22" ht="13.8" customHeight="1" thickBot="1" x14ac:dyDescent="0.35">
      <c r="A20">
        <v>13</v>
      </c>
      <c r="B20" vm="114">
        <v>44593</v>
      </c>
      <c r="C20" s="15">
        <f ca="1">'1.a Compute rate of return'!D19</f>
        <v>3.6141906873614085E-2</v>
      </c>
      <c r="D20" s="16">
        <f ca="1">'1.a Compute rate of return'!H19</f>
        <v>-1.4211638179374092E-3</v>
      </c>
      <c r="E20" s="15">
        <f ca="1">'1.a Compute rate of return'!L19</f>
        <v>-0.16986980781153124</v>
      </c>
      <c r="F20" s="16">
        <f ca="1">'1.a Compute rate of return'!P19</f>
        <v>-3.7488284910964526E-3</v>
      </c>
      <c r="G20" s="21">
        <f ca="1">'1.a Compute rate of return'!T19</f>
        <v>1.0204081632653071E-2</v>
      </c>
      <c r="H20" s="16">
        <f ca="1">'1.a Compute rate of return'!X19</f>
        <v>-5.2542372881356013E-2</v>
      </c>
      <c r="I20" s="21">
        <f ca="1">'1.a Compute rate of return'!AB19</f>
        <v>-2.9869852784297113E-3</v>
      </c>
      <c r="J20" s="16">
        <f ca="1">'1.a Compute rate of return'!AF19</f>
        <v>4.5454545454544481E-3</v>
      </c>
      <c r="M20" s="130" t="s">
        <v>12</v>
      </c>
      <c r="N20" s="131"/>
      <c r="O20" s="22"/>
      <c r="P20" s="131"/>
      <c r="Q20" s="22" t="s">
        <v>82</v>
      </c>
      <c r="R20" s="131"/>
      <c r="S20" s="23" t="s">
        <v>84</v>
      </c>
      <c r="T20" s="132" t="s">
        <v>76</v>
      </c>
      <c r="U20" s="22"/>
      <c r="V20" s="129" t="s">
        <v>33</v>
      </c>
    </row>
    <row r="21" spans="1:22" ht="15" customHeight="1" thickBot="1" x14ac:dyDescent="0.35">
      <c r="A21">
        <v>14</v>
      </c>
      <c r="B21" vm="123">
        <v>44621</v>
      </c>
      <c r="C21" s="15">
        <f ca="1">'1.a Compute rate of return'!D20</f>
        <v>4.8362936015407774E-2</v>
      </c>
      <c r="D21" s="16">
        <f ca="1">'1.a Compute rate of return'!H20</f>
        <v>3.1425494268789746E-2</v>
      </c>
      <c r="E21" s="15">
        <f ca="1">'1.a Compute rate of return'!L20</f>
        <v>9.6233863224154434E-2</v>
      </c>
      <c r="F21" s="16">
        <f ca="1">'1.a Compute rate of return'!P20</f>
        <v>9.6895578551269929E-2</v>
      </c>
      <c r="G21" s="21">
        <f ca="1">'1.a Compute rate of return'!T20</f>
        <v>0</v>
      </c>
      <c r="H21" s="16">
        <f ca="1">'1.a Compute rate of return'!X20</f>
        <v>8.2289803220035776E-2</v>
      </c>
      <c r="I21" s="21">
        <f ca="1">'1.a Compute rate of return'!AB20</f>
        <v>0.13171410228974967</v>
      </c>
      <c r="J21" s="16">
        <f ca="1">'1.a Compute rate of return'!AF20</f>
        <v>-2.7149321266968351E-2</v>
      </c>
      <c r="M21" s="133" t="s">
        <v>13</v>
      </c>
      <c r="N21" s="131" t="s">
        <v>71</v>
      </c>
      <c r="O21" s="22"/>
      <c r="P21" s="131" t="s">
        <v>73</v>
      </c>
      <c r="Q21" s="22"/>
      <c r="R21" s="131"/>
      <c r="S21" s="23"/>
      <c r="T21" s="132"/>
      <c r="U21" s="22" t="s">
        <v>105</v>
      </c>
      <c r="V21" s="134" t="s">
        <v>33</v>
      </c>
    </row>
    <row r="22" spans="1:22" ht="16.8" customHeight="1" x14ac:dyDescent="0.3">
      <c r="A22">
        <v>15</v>
      </c>
      <c r="B22" vm="131">
        <v>44652</v>
      </c>
      <c r="C22" s="15">
        <f ca="1">'1.a Compute rate of return'!D21</f>
        <v>-3.0822616860583896E-2</v>
      </c>
      <c r="D22" s="16">
        <f ca="1">'1.a Compute rate of return'!H21</f>
        <v>1.9205668469140534E-2</v>
      </c>
      <c r="E22" s="15">
        <f ca="1">'1.a Compute rate of return'!L21</f>
        <v>-6.2287104622871105E-2</v>
      </c>
      <c r="F22" s="16">
        <f ca="1">'1.a Compute rate of return'!P21</f>
        <v>-3.2590051457976055E-2</v>
      </c>
      <c r="G22" s="21">
        <f ca="1">'1.a Compute rate of return'!T21</f>
        <v>2.0202020202020221E-2</v>
      </c>
      <c r="H22" s="16">
        <f ca="1">'1.a Compute rate of return'!X21</f>
        <v>-2.8099173553718996E-2</v>
      </c>
      <c r="I22" s="21">
        <f ca="1">'1.a Compute rate of return'!AB21</f>
        <v>-1.7868960953011256E-2</v>
      </c>
      <c r="J22" s="16">
        <f ca="1">'1.a Compute rate of return'!AF21</f>
        <v>-5.1162790697674362E-2</v>
      </c>
      <c r="M22" s="166"/>
      <c r="N22" s="166"/>
      <c r="O22" s="166"/>
      <c r="P22" s="166"/>
      <c r="Q22" s="166"/>
      <c r="R22" s="166"/>
      <c r="S22" s="166"/>
    </row>
    <row r="23" spans="1:22" ht="15" customHeight="1" x14ac:dyDescent="0.3">
      <c r="A23">
        <v>16</v>
      </c>
      <c r="B23" vm="140">
        <v>44682</v>
      </c>
      <c r="C23" s="15">
        <f ca="1">'1.a Compute rate of return'!D22</f>
        <v>-0.11267902274641943</v>
      </c>
      <c r="D23" s="16">
        <f ca="1">'1.a Compute rate of return'!H22</f>
        <v>-5.3787047200879153E-3</v>
      </c>
      <c r="E23" s="15">
        <f ca="1">'1.a Compute rate of return'!L22</f>
        <v>-7.3274519979242225E-2</v>
      </c>
      <c r="F23" s="16">
        <f ca="1">'1.a Compute rate of return'!P22</f>
        <v>-2.3936170212765923E-2</v>
      </c>
      <c r="G23" s="21">
        <f ca="1">'1.a Compute rate of return'!T22</f>
        <v>-3.9603960396039639E-2</v>
      </c>
      <c r="H23" s="16">
        <f ca="1">'1.a Compute rate of return'!X22</f>
        <v>-2.2108843537414949E-2</v>
      </c>
      <c r="I23" s="21">
        <f ca="1">'1.a Compute rate of return'!AB22</f>
        <v>4.6207162110127459E-3</v>
      </c>
      <c r="J23" s="16">
        <f ca="1">'1.a Compute rate of return'!AF22</f>
        <v>-7.352941176470594E-2</v>
      </c>
      <c r="M23" s="167"/>
      <c r="N23" s="167"/>
      <c r="O23" s="167"/>
      <c r="P23" s="167"/>
      <c r="Q23" s="167"/>
      <c r="R23" s="167"/>
      <c r="S23" s="167"/>
    </row>
    <row r="24" spans="1:22" ht="16.8" customHeight="1" x14ac:dyDescent="0.3">
      <c r="A24">
        <v>17</v>
      </c>
      <c r="B24" vm="149">
        <v>44713</v>
      </c>
      <c r="C24" s="15">
        <f ca="1">'1.a Compute rate of return'!D23</f>
        <v>2.8483266081176699E-3</v>
      </c>
      <c r="D24" s="16">
        <f ca="1">'1.a Compute rate of return'!H23</f>
        <v>-1.0190192399661487E-2</v>
      </c>
      <c r="E24" s="15">
        <f ca="1">'1.a Compute rate of return'!L23</f>
        <v>-0.13808937171015803</v>
      </c>
      <c r="F24" s="16">
        <f ca="1">'1.a Compute rate of return'!P23</f>
        <v>-3.3605812897365958E-2</v>
      </c>
      <c r="G24" s="21">
        <f ca="1">'1.a Compute rate of return'!T23</f>
        <v>-7.7319587628865479E-3</v>
      </c>
      <c r="H24" s="16">
        <f ca="1">'1.a Compute rate of return'!X23</f>
        <v>3.8260869565217348E-2</v>
      </c>
      <c r="I24" s="21">
        <f ca="1">'1.a Compute rate of return'!AB23</f>
        <v>-0.13395937140666925</v>
      </c>
      <c r="J24" s="16">
        <f ca="1">'1.a Compute rate of return'!AF23</f>
        <v>-0.20105820105820102</v>
      </c>
      <c r="M24" s="167"/>
      <c r="N24" s="167"/>
      <c r="O24" s="167"/>
      <c r="P24" s="167"/>
      <c r="Q24" s="167"/>
      <c r="R24" s="167"/>
      <c r="S24" s="167"/>
    </row>
    <row r="25" spans="1:22" ht="14.4" customHeight="1" x14ac:dyDescent="0.3">
      <c r="A25">
        <v>18</v>
      </c>
      <c r="B25" vm="158">
        <v>44743</v>
      </c>
      <c r="C25" s="15">
        <f ca="1">'1.a Compute rate of return'!D24</f>
        <v>0.17254437869822484</v>
      </c>
      <c r="D25" s="16">
        <f ca="1">'1.a Compute rate of return'!H24</f>
        <v>7.7231844198319979E-2</v>
      </c>
      <c r="E25" s="15">
        <f ca="1">'1.a Compute rate of return'!L24</f>
        <v>0.20829002079002082</v>
      </c>
      <c r="F25" s="16">
        <f ca="1">'1.a Compute rate of return'!P24</f>
        <v>0.10714285714285703</v>
      </c>
      <c r="G25" s="21">
        <f ca="1">'1.a Compute rate of return'!T24</f>
        <v>1.0389610389610398E-2</v>
      </c>
      <c r="H25" s="16">
        <f ca="1">'1.a Compute rate of return'!X24</f>
        <v>6.1976549413735364E-2</v>
      </c>
      <c r="I25" s="21">
        <f ca="1">'1.a Compute rate of return'!AB24</f>
        <v>0.11495906173932287</v>
      </c>
      <c r="J25" s="16">
        <f ca="1">'1.a Compute rate of return'!AF24</f>
        <v>0.2516556291390728</v>
      </c>
      <c r="M25" s="167"/>
      <c r="N25" s="167"/>
      <c r="O25" s="167"/>
      <c r="P25" s="167"/>
      <c r="Q25" s="167"/>
      <c r="R25" s="167"/>
      <c r="S25" s="167"/>
    </row>
    <row r="26" spans="1:22" ht="16.2" customHeight="1" x14ac:dyDescent="0.3">
      <c r="A26">
        <v>19</v>
      </c>
      <c r="B26" vm="166">
        <v>44774</v>
      </c>
      <c r="C26" s="15">
        <f ca="1">'1.a Compute rate of return'!D25</f>
        <v>9.9717400080742785E-2</v>
      </c>
      <c r="D26" s="16">
        <f ca="1">'1.a Compute rate of return'!H25</f>
        <v>1.2765663814518513E-2</v>
      </c>
      <c r="E26" s="15">
        <f ca="1">'1.a Compute rate of return'!L25</f>
        <v>-5.6350145176900693E-2</v>
      </c>
      <c r="F26" s="16">
        <f ca="1">'1.a Compute rate of return'!P25</f>
        <v>-0.10950764006791165</v>
      </c>
      <c r="G26" s="21">
        <f ca="1">'1.a Compute rate of return'!T25</f>
        <v>2.0565552699228811E-2</v>
      </c>
      <c r="H26" s="16">
        <f ca="1">'1.a Compute rate of return'!X25</f>
        <v>-0.15615141955835965</v>
      </c>
      <c r="I26" s="21">
        <f ca="1">'1.a Compute rate of return'!AB25</f>
        <v>-3.2747841619529594E-2</v>
      </c>
      <c r="J26" s="16">
        <f ca="1">'1.a Compute rate of return'!AF25</f>
        <v>1.5873015873015889E-2</v>
      </c>
    </row>
    <row r="27" spans="1:22" x14ac:dyDescent="0.3">
      <c r="A27">
        <v>20</v>
      </c>
      <c r="B27" vm="175">
        <v>44805</v>
      </c>
      <c r="C27" s="15">
        <f ca="1">'1.a Compute rate of return'!D26</f>
        <v>-7.8744493392070472E-2</v>
      </c>
      <c r="D27" s="16">
        <f ca="1">'1.a Compute rate of return'!H26</f>
        <v>-2.902500511003624E-2</v>
      </c>
      <c r="E27" s="15">
        <f ca="1">'1.a Compute rate of return'!L26</f>
        <v>-0.16227920227920223</v>
      </c>
      <c r="F27" s="16">
        <f ca="1">'1.a Compute rate of return'!P26</f>
        <v>-0.15919923736892277</v>
      </c>
      <c r="G27" s="21">
        <f ca="1">'1.a Compute rate of return'!T26</f>
        <v>-3.0226700251889196E-2</v>
      </c>
      <c r="H27" s="16">
        <f ca="1">'1.a Compute rate of return'!X26</f>
        <v>-9.3457943925233655E-2</v>
      </c>
      <c r="I27" s="21">
        <f ca="1">'1.a Compute rate of return'!AB26</f>
        <v>-6.9457268903252239E-2</v>
      </c>
      <c r="J27" s="16">
        <f ca="1">'1.a Compute rate of return'!AF26</f>
        <v>-0.16406249999999997</v>
      </c>
    </row>
    <row r="28" spans="1:22" x14ac:dyDescent="0.3">
      <c r="A28">
        <v>21</v>
      </c>
      <c r="B28" vm="183">
        <v>44835</v>
      </c>
      <c r="C28" s="15">
        <f ca="1">'1.a Compute rate of return'!D27</f>
        <v>0.1121737397888026</v>
      </c>
      <c r="D28" s="16">
        <f ca="1">'1.a Compute rate of return'!H27</f>
        <v>-1.5928706757420405E-2</v>
      </c>
      <c r="E28" s="15">
        <f ca="1">'1.a Compute rate of return'!L27</f>
        <v>6.2032376547408348E-2</v>
      </c>
      <c r="F28" s="16">
        <f ca="1">'1.a Compute rate of return'!P27</f>
        <v>-5.6689342403628114E-2</v>
      </c>
      <c r="G28" s="21">
        <f ca="1">'1.a Compute rate of return'!T27</f>
        <v>1.8181818181818139E-2</v>
      </c>
      <c r="H28" s="16">
        <f ca="1">'1.a Compute rate of return'!X27</f>
        <v>1.0309278350515611E-2</v>
      </c>
      <c r="I28" s="21">
        <f ca="1">'1.a Compute rate of return'!AB27</f>
        <v>0.15413450937155462</v>
      </c>
      <c r="J28" s="16">
        <f ca="1">'1.a Compute rate of return'!AF27</f>
        <v>4.6728971962616793E-2</v>
      </c>
    </row>
    <row r="29" spans="1:22" x14ac:dyDescent="0.3">
      <c r="A29">
        <v>22</v>
      </c>
      <c r="B29" vm="190">
        <v>44866</v>
      </c>
      <c r="C29" s="15">
        <f ca="1">'1.a Compute rate of return'!D28</f>
        <v>6.4851307774990999E-2</v>
      </c>
      <c r="D29" s="16">
        <f ca="1">'1.a Compute rate of return'!H28</f>
        <v>6.9987164860239565E-2</v>
      </c>
      <c r="E29" s="15">
        <f ca="1">'1.a Compute rate of return'!L28</f>
        <v>-9.5171000384270441E-2</v>
      </c>
      <c r="F29" s="16">
        <f ca="1">'1.a Compute rate of return'!P28</f>
        <v>0.18629807692307679</v>
      </c>
      <c r="G29" s="21">
        <f ca="1">'1.a Compute rate of return'!T28</f>
        <v>1.5306122448979605E-2</v>
      </c>
      <c r="H29" s="16">
        <f ca="1">'1.a Compute rate of return'!X28</f>
        <v>-2.0408163265307499E-3</v>
      </c>
      <c r="I29" s="21">
        <f ca="1">'1.a Compute rate of return'!AB28</f>
        <v>3.0378295758502028E-2</v>
      </c>
      <c r="J29" s="16">
        <f ca="1">'1.a Compute rate of return'!AF28</f>
        <v>-8.9285714285713708E-3</v>
      </c>
    </row>
    <row r="30" spans="1:22" x14ac:dyDescent="0.3">
      <c r="A30">
        <v>23</v>
      </c>
      <c r="B30" vm="199">
        <v>44896</v>
      </c>
      <c r="C30" s="15">
        <f ca="1">'1.a Compute rate of return'!D29</f>
        <v>-7.0323014804845221E-2</v>
      </c>
      <c r="D30" s="16">
        <f ca="1">'1.a Compute rate of return'!H29</f>
        <v>-4.1151577754823303E-2</v>
      </c>
      <c r="E30" s="15">
        <f ca="1">'1.a Compute rate of return'!L29</f>
        <v>-5.2378255945640505E-3</v>
      </c>
      <c r="F30" s="16">
        <f ca="1">'1.a Compute rate of return'!P29</f>
        <v>-7.8014184397163081E-2</v>
      </c>
      <c r="G30" s="21">
        <f ca="1">'1.a Compute rate of return'!T29</f>
        <v>2.5125628140704099E-3</v>
      </c>
      <c r="H30" s="16">
        <f ca="1">'1.a Compute rate of return'!X29</f>
        <v>0</v>
      </c>
      <c r="I30" s="21">
        <f ca="1">'1.a Compute rate of return'!AB29</f>
        <v>-4.8766920081587291E-2</v>
      </c>
      <c r="J30" s="16">
        <f ca="1">'1.a Compute rate of return'!AF29</f>
        <v>-0.12612612612612611</v>
      </c>
    </row>
    <row r="31" spans="1:22" x14ac:dyDescent="0.3">
      <c r="A31">
        <v>24</v>
      </c>
      <c r="B31" vm="207">
        <v>44927</v>
      </c>
      <c r="C31" s="15">
        <f ca="1">'1.a Compute rate of return'!D30</f>
        <v>0.20973579442634813</v>
      </c>
      <c r="D31" s="16">
        <f ca="1">'1.a Compute rate of return'!H30</f>
        <v>3.586321934945786E-2</v>
      </c>
      <c r="E31" s="15">
        <f ca="1">'1.a Compute rate of return'!L30</f>
        <v>9.2927280489540368E-2</v>
      </c>
      <c r="F31" s="16">
        <f ca="1">'1.a Compute rate of return'!P30</f>
        <v>8.6813186813186921E-2</v>
      </c>
      <c r="G31" s="21">
        <f ca="1">'1.a Compute rate of return'!T30</f>
        <v>2.2556390977443573E-2</v>
      </c>
      <c r="H31" s="16">
        <f ca="1">'1.a Compute rate of return'!X30</f>
        <v>-1.431492842535775E-2</v>
      </c>
      <c r="I31" s="21">
        <f ca="1">'1.a Compute rate of return'!AB30</f>
        <v>7.2709551656920154E-2</v>
      </c>
      <c r="J31" s="16">
        <f ca="1">'1.a Compute rate of return'!AF30</f>
        <v>0.16151202749140883</v>
      </c>
    </row>
    <row r="32" spans="1:22" x14ac:dyDescent="0.3">
      <c r="A32">
        <v>25</v>
      </c>
      <c r="B32" vm="216">
        <v>44958</v>
      </c>
      <c r="C32" s="15">
        <f ca="1">'1.a Compute rate of return'!D31</f>
        <v>-8.7359760658189928E-2</v>
      </c>
      <c r="D32" s="16">
        <f ca="1">'1.a Compute rate of return'!H31</f>
        <v>-5.9715512614062424E-3</v>
      </c>
      <c r="E32" s="15">
        <f ca="1">'1.a Compute rate of return'!L31</f>
        <v>1.1718750000000075E-2</v>
      </c>
      <c r="F32" s="16">
        <f ca="1">'1.a Compute rate of return'!P31</f>
        <v>3.8422649140545904E-2</v>
      </c>
      <c r="G32" s="21">
        <f ca="1">'1.a Compute rate of return'!T31</f>
        <v>1.9607843137254919E-2</v>
      </c>
      <c r="H32" s="16">
        <f ca="1">'1.a Compute rate of return'!X31</f>
        <v>5.1867219917012444E-2</v>
      </c>
      <c r="I32" s="21">
        <f ca="1">'1.a Compute rate of return'!AB31</f>
        <v>-8.5135380701435615E-2</v>
      </c>
      <c r="J32" s="16">
        <f ca="1">'1.a Compute rate of return'!AF31</f>
        <v>-6.8047337278106509E-2</v>
      </c>
    </row>
    <row r="33" spans="1:10" x14ac:dyDescent="0.3">
      <c r="A33">
        <v>26</v>
      </c>
      <c r="B33" vm="225">
        <v>44986</v>
      </c>
      <c r="C33" s="15">
        <f ca="1">'1.a Compute rate of return'!D32</f>
        <v>4.6877561055564655E-2</v>
      </c>
      <c r="D33" s="16">
        <f ca="1">'1.a Compute rate of return'!H32</f>
        <v>-2.6999662504218695E-2</v>
      </c>
      <c r="E33" s="15">
        <f ca="1">'1.a Compute rate of return'!L32</f>
        <v>0.15083655083655081</v>
      </c>
      <c r="F33" s="16">
        <f ca="1">'1.a Compute rate of return'!P32</f>
        <v>1.8500486854917359E-2</v>
      </c>
      <c r="G33" s="21">
        <f ca="1">'1.a Compute rate of return'!T32</f>
        <v>1.4423076923076828E-2</v>
      </c>
      <c r="H33" s="16">
        <f ca="1">'1.a Compute rate of return'!X32</f>
        <v>-3.7475345167652933E-2</v>
      </c>
      <c r="I33" s="21">
        <f ca="1">'1.a Compute rate of return'!AB32</f>
        <v>-2.3537590624689686E-2</v>
      </c>
      <c r="J33" s="16">
        <f ca="1">'1.a Compute rate of return'!AF32</f>
        <v>-5.396825396825395E-2</v>
      </c>
    </row>
    <row r="34" spans="1:10" x14ac:dyDescent="0.3">
      <c r="A34">
        <v>27</v>
      </c>
      <c r="B34" vm="234">
        <v>45017</v>
      </c>
      <c r="C34" s="15">
        <f ca="1">'1.a Compute rate of return'!D33</f>
        <v>-3.8046031000469702E-2</v>
      </c>
      <c r="D34" s="16">
        <f ca="1">'1.a Compute rate of return'!H33</f>
        <v>4.2594519597641246E-2</v>
      </c>
      <c r="E34" s="15">
        <f ca="1">'1.a Compute rate of return'!L33</f>
        <v>4.3838067546410217E-2</v>
      </c>
      <c r="F34" s="16">
        <f ca="1">'1.a Compute rate of return'!P33</f>
        <v>9.7514340344168213E-2</v>
      </c>
      <c r="G34" s="21">
        <f ca="1">'1.a Compute rate of return'!T33</f>
        <v>3.5545023696682554E-2</v>
      </c>
      <c r="H34" s="16">
        <f ca="1">'1.a Compute rate of return'!X33</f>
        <v>0.10040983606557381</v>
      </c>
      <c r="I34" s="21">
        <f ca="1">'1.a Compute rate of return'!AB33</f>
        <v>1.0577705451586721E-2</v>
      </c>
      <c r="J34" s="16">
        <f ca="1">'1.a Compute rate of return'!AF33</f>
        <v>8.053691275167793E-2</v>
      </c>
    </row>
    <row r="35" spans="1:10" x14ac:dyDescent="0.3">
      <c r="A35">
        <v>28</v>
      </c>
      <c r="B35" vm="243">
        <v>45047</v>
      </c>
      <c r="C35" s="15">
        <f ca="1">'1.a Compute rate of return'!D34</f>
        <v>-3.4016927083333273E-2</v>
      </c>
      <c r="D35" s="16">
        <f ca="1">'1.a Compute rate of return'!H34</f>
        <v>1.9329296693060091E-2</v>
      </c>
      <c r="E35" s="15">
        <f ca="1">'1.a Compute rate of return'!L34</f>
        <v>0.17795157488750801</v>
      </c>
      <c r="F35" s="16">
        <f ca="1">'1.a Compute rate of return'!P34</f>
        <v>0.10714285714285718</v>
      </c>
      <c r="G35" s="21">
        <f ca="1">'1.a Compute rate of return'!T34</f>
        <v>-2.2883295194507519E-3</v>
      </c>
      <c r="H35" s="16">
        <f ca="1">'1.a Compute rate of return'!X34</f>
        <v>1.8621973929236431E-2</v>
      </c>
      <c r="I35" s="21">
        <f ca="1">'1.a Compute rate of return'!AB34</f>
        <v>-2.5966183574879211E-2</v>
      </c>
      <c r="J35" s="16">
        <f ca="1">'1.a Compute rate of return'!AF34</f>
        <v>5.5900621118012334E-2</v>
      </c>
    </row>
    <row r="36" spans="1:10" x14ac:dyDescent="0.3">
      <c r="A36">
        <v>29</v>
      </c>
      <c r="B36" vm="252">
        <v>45078</v>
      </c>
      <c r="C36" s="15">
        <f ca="1">'1.a Compute rate of return'!D35</f>
        <v>0.10598146588037066</v>
      </c>
      <c r="D36" s="16">
        <f ca="1">'1.a Compute rate of return'!H35</f>
        <v>-9.4683246842259844E-2</v>
      </c>
      <c r="E36" s="15">
        <f ca="1">'1.a Compute rate of return'!L35</f>
        <v>8.1673487949067786E-2</v>
      </c>
      <c r="F36" s="16">
        <f ca="1">'1.a Compute rate of return'!P35</f>
        <v>-1.0228166797797072E-2</v>
      </c>
      <c r="G36" s="21">
        <f ca="1">'1.a Compute rate of return'!T35</f>
        <v>-1.376146788990837E-2</v>
      </c>
      <c r="H36" s="16">
        <f ca="1">'1.a Compute rate of return'!X35</f>
        <v>-0.10968921389396703</v>
      </c>
      <c r="I36" s="21">
        <f ca="1">'1.a Compute rate of return'!AB35</f>
        <v>3.6061169663153488E-2</v>
      </c>
      <c r="J36" s="16">
        <f ca="1">'1.a Compute rate of return'!AF35</f>
        <v>5.2941176470588283E-2</v>
      </c>
    </row>
    <row r="37" spans="1:10" x14ac:dyDescent="0.3">
      <c r="A37">
        <v>30</v>
      </c>
      <c r="B37" vm="261">
        <v>45108</v>
      </c>
      <c r="C37" s="15">
        <f ca="1">'1.a Compute rate of return'!D36</f>
        <v>4.7989031078610689E-2</v>
      </c>
      <c r="D37" s="16">
        <f ca="1">'1.a Compute rate of return'!H36</f>
        <v>-3.194174057249987E-2</v>
      </c>
      <c r="E37" s="15">
        <f ca="1">'1.a Compute rate of return'!L36</f>
        <v>2.757924829731764E-2</v>
      </c>
      <c r="F37" s="16">
        <f ca="1">'1.a Compute rate of return'!P36</f>
        <v>1.3513513513513507E-2</v>
      </c>
      <c r="G37" s="21">
        <f ca="1">'1.a Compute rate of return'!T36</f>
        <v>-9.3023255813953574E-3</v>
      </c>
      <c r="H37" s="16">
        <f ca="1">'1.a Compute rate of return'!X36</f>
        <v>3.0800821355236031E-2</v>
      </c>
      <c r="I37" s="21">
        <f ca="1">'1.a Compute rate of return'!AB36</f>
        <v>5.4253515508128035E-2</v>
      </c>
      <c r="J37" s="16">
        <f ca="1">'1.a Compute rate of return'!AF36</f>
        <v>2.2346368715083817E-2</v>
      </c>
    </row>
    <row r="38" spans="1:10" x14ac:dyDescent="0.3">
      <c r="A38">
        <v>31</v>
      </c>
      <c r="B38" vm="269">
        <v>45139</v>
      </c>
      <c r="C38" s="15">
        <f ca="1">'1.a Compute rate of return'!D37</f>
        <v>6.585259485390299E-2</v>
      </c>
      <c r="D38" s="16">
        <f ca="1">'1.a Compute rate of return'!H37</f>
        <v>1.8657828094741515E-2</v>
      </c>
      <c r="E38" s="15">
        <f ca="1">'1.a Compute rate of return'!L37</f>
        <v>2.3647819327387291E-2</v>
      </c>
      <c r="F38" s="16">
        <f ca="1">'1.a Compute rate of return'!P37</f>
        <v>6.1960784313725425E-2</v>
      </c>
      <c r="G38" s="21">
        <f ca="1">'1.a Compute rate of return'!T37</f>
        <v>-5.8685446009389672E-2</v>
      </c>
      <c r="H38" s="16">
        <f ca="1">'1.a Compute rate of return'!X37</f>
        <v>0.12151394422310764</v>
      </c>
      <c r="I38" s="21">
        <f ca="1">'1.a Compute rate of return'!AB37</f>
        <v>-3.3393245672121721E-2</v>
      </c>
      <c r="J38" s="16">
        <f ca="1">'1.a Compute rate of return'!AF37</f>
        <v>-0.13661202185792348</v>
      </c>
    </row>
    <row r="39" spans="1:10" x14ac:dyDescent="0.3">
      <c r="A39">
        <v>32</v>
      </c>
      <c r="B39" vm="278">
        <v>45170</v>
      </c>
      <c r="C39" s="15">
        <f ca="1">'1.a Compute rate of return'!D38</f>
        <v>0.13734315330060023</v>
      </c>
      <c r="D39" s="16">
        <f ca="1">'1.a Compute rate of return'!H38</f>
        <v>-8.3098746024201961E-2</v>
      </c>
      <c r="E39" s="15">
        <f ca="1">'1.a Compute rate of return'!L38</f>
        <v>-0.10127897681854507</v>
      </c>
      <c r="F39" s="16">
        <f ca="1">'1.a Compute rate of return'!P38</f>
        <v>-8.493353028064983E-2</v>
      </c>
      <c r="G39" s="21">
        <f ca="1">'1.a Compute rate of return'!T38</f>
        <v>-3.9900249376558533E-2</v>
      </c>
      <c r="H39" s="16">
        <f ca="1">'1.a Compute rate of return'!X38</f>
        <v>-3.0195381882770857E-2</v>
      </c>
      <c r="I39" s="21">
        <f ca="1">'1.a Compute rate of return'!AB38</f>
        <v>-2.1628498727735444E-2</v>
      </c>
      <c r="J39" s="16">
        <f ca="1">'1.a Compute rate of return'!AF38</f>
        <v>-7.5949367088607653E-2</v>
      </c>
    </row>
    <row r="40" spans="1:10" x14ac:dyDescent="0.3">
      <c r="A40">
        <v>33</v>
      </c>
      <c r="B40" vm="286">
        <v>45200</v>
      </c>
      <c r="C40" s="15">
        <f ca="1">'1.a Compute rate of return'!D39</f>
        <v>-0.10612783307350994</v>
      </c>
      <c r="D40" s="16">
        <f ca="1">'1.a Compute rate of return'!H39</f>
        <v>-7.3564593301435471E-2</v>
      </c>
      <c r="E40" s="15">
        <f ca="1">'1.a Compute rate of return'!L39</f>
        <v>-5.1053989148803776E-2</v>
      </c>
      <c r="F40" s="16">
        <f ca="1">'1.a Compute rate of return'!P39</f>
        <v>-5.1654560129136447E-2</v>
      </c>
      <c r="G40" s="21">
        <f ca="1">'1.a Compute rate of return'!T39</f>
        <v>-1.0389610389610398E-2</v>
      </c>
      <c r="H40" s="16">
        <f ca="1">'1.a Compute rate of return'!X39</f>
        <v>-5.1282051282051329E-2</v>
      </c>
      <c r="I40" s="21">
        <f ca="1">'1.a Compute rate of return'!AB39</f>
        <v>-3.4110233069920941E-2</v>
      </c>
      <c r="J40" s="16">
        <f ca="1">'1.a Compute rate of return'!AF39</f>
        <v>-0.11643835616438351</v>
      </c>
    </row>
    <row r="41" spans="1:10" x14ac:dyDescent="0.3">
      <c r="A41">
        <v>34</v>
      </c>
      <c r="B41" vm="295">
        <v>45231</v>
      </c>
      <c r="C41" s="15">
        <f ca="1">'1.a Compute rate of return'!D40</f>
        <v>0.18607459082371866</v>
      </c>
      <c r="D41" s="16">
        <f ca="1">'1.a Compute rate of return'!H40</f>
        <v>0.12859909619109114</v>
      </c>
      <c r="E41" s="15">
        <f ca="1">'1.a Compute rate of return'!L40</f>
        <v>-3.4117536788827452E-2</v>
      </c>
      <c r="F41" s="16">
        <f ca="1">'1.a Compute rate of return'!P40</f>
        <v>0.1089361702127659</v>
      </c>
      <c r="G41" s="21">
        <f ca="1">'1.a Compute rate of return'!T40</f>
        <v>2.6246719160104427E-3</v>
      </c>
      <c r="H41" s="16">
        <f ca="1">'1.a Compute rate of return'!X40</f>
        <v>-8.8803088803088806E-2</v>
      </c>
      <c r="I41" s="21">
        <f ca="1">'1.a Compute rate of return'!AB40</f>
        <v>8.3885666942833406E-2</v>
      </c>
      <c r="J41" s="16">
        <f ca="1">'1.a Compute rate of return'!AF40</f>
        <v>0.1705426356589147</v>
      </c>
    </row>
    <row r="42" spans="1:10" x14ac:dyDescent="0.3">
      <c r="A42">
        <v>35</v>
      </c>
      <c r="B42" vm="302">
        <v>45261</v>
      </c>
      <c r="C42" s="15">
        <f ca="1">'1.a Compute rate of return'!D41</f>
        <v>8.3927157561361862E-2</v>
      </c>
      <c r="D42" s="16">
        <f ca="1">'1.a Compute rate of return'!H41</f>
        <v>9.3124356480951673E-2</v>
      </c>
      <c r="E42" s="15">
        <f ca="1">'1.a Compute rate of return'!L41</f>
        <v>8.9762251334303739E-2</v>
      </c>
      <c r="F42" s="16">
        <f ca="1">'1.a Compute rate of return'!P41</f>
        <v>5.3722179585571843E-2</v>
      </c>
      <c r="G42" s="21">
        <f ca="1">'1.a Compute rate of return'!T41</f>
        <v>3.6649214659685896E-2</v>
      </c>
      <c r="H42" s="16">
        <f ca="1">'1.a Compute rate of return'!X41</f>
        <v>9.7457627118644072E-2</v>
      </c>
      <c r="I42" s="21">
        <f ca="1">'1.a Compute rate of return'!AB41</f>
        <v>6.8220905790177727E-2</v>
      </c>
      <c r="J42" s="16">
        <f ca="1">'1.a Compute rate of return'!AF41</f>
        <v>3.3112582781456984E-2</v>
      </c>
    </row>
    <row r="43" spans="1:10" x14ac:dyDescent="0.3">
      <c r="A43">
        <v>36</v>
      </c>
      <c r="B43" vm="309">
        <v>45292</v>
      </c>
      <c r="C43" s="15">
        <f ca="1">'1.a Compute rate of return'!D42</f>
        <v>5.9793384117708487E-2</v>
      </c>
      <c r="D43" s="16">
        <f ca="1">'1.a Compute rate of return'!H42</f>
        <v>5.2503052503052546E-2</v>
      </c>
      <c r="E43" s="15">
        <f ca="1">'1.a Compute rate of return'!L42</f>
        <v>-1.3446126447016838E-2</v>
      </c>
      <c r="F43" s="16">
        <f ca="1">'1.a Compute rate of return'!P42</f>
        <v>2.1121631463947497E-2</v>
      </c>
      <c r="G43" s="21">
        <f ca="1">'1.a Compute rate of return'!T42</f>
        <v>2.0202020202020221E-2</v>
      </c>
      <c r="H43" s="16">
        <f ca="1">'1.a Compute rate of return'!X42</f>
        <v>2.1235521235521297E-2</v>
      </c>
      <c r="I43" s="21">
        <f ca="1">'1.a Compute rate of return'!AB42</f>
        <v>5.1252236135957106E-2</v>
      </c>
      <c r="J43" s="16">
        <f ca="1">'1.a Compute rate of return'!AF42</f>
        <v>3.5256410256410214E-2</v>
      </c>
    </row>
    <row r="44" spans="1:10" x14ac:dyDescent="0.3">
      <c r="A44">
        <v>37</v>
      </c>
      <c r="B44" vm="317">
        <v>45323</v>
      </c>
      <c r="C44" s="15">
        <f ca="1">'1.a Compute rate of return'!D43</f>
        <v>2.2252855454903415E-2</v>
      </c>
      <c r="D44" s="16">
        <f ca="1">'1.a Compute rate of return'!H43</f>
        <v>-5.1242956579383429E-2</v>
      </c>
      <c r="E44" s="15">
        <f ca="1">'1.a Compute rate of return'!L43</f>
        <v>0.14911093058940333</v>
      </c>
      <c r="F44" s="16">
        <f ca="1">'1.a Compute rate of return'!P43</f>
        <v>0.2589158345221112</v>
      </c>
      <c r="G44" s="21">
        <f ca="1">'1.a Compute rate of return'!T43</f>
        <v>-5.4455445544554504E-2</v>
      </c>
      <c r="H44" s="16">
        <f ca="1">'1.a Compute rate of return'!X43</f>
        <v>-0.11342155009451789</v>
      </c>
      <c r="I44" s="21">
        <f ca="1">'1.a Compute rate of return'!AB43</f>
        <v>-9.5294818344252921E-3</v>
      </c>
      <c r="J44" s="16">
        <f ca="1">'1.a Compute rate of return'!AF43</f>
        <v>-7.7399380804953566E-2</v>
      </c>
    </row>
    <row r="45" spans="1:10" x14ac:dyDescent="0.3">
      <c r="A45">
        <v>38</v>
      </c>
      <c r="B45" vm="324">
        <v>45352</v>
      </c>
      <c r="C45" s="15">
        <f ca="1">'1.a Compute rate of return'!D44</f>
        <v>-6.7424388364470411E-4</v>
      </c>
      <c r="D45" s="16">
        <f ca="1">'1.a Compute rate of return'!H44</f>
        <v>5.8692006707658142E-3</v>
      </c>
      <c r="E45" s="15">
        <f ca="1">'1.a Compute rate of return'!L44</f>
        <v>4.7207603487550001E-2</v>
      </c>
      <c r="F45" s="16">
        <f ca="1">'1.a Compute rate of return'!P44</f>
        <v>7.9320113314447927E-3</v>
      </c>
      <c r="G45" s="21">
        <f ca="1">'1.a Compute rate of return'!T44</f>
        <v>1.0471204188481685E-2</v>
      </c>
      <c r="H45" s="16">
        <f ca="1">'1.a Compute rate of return'!X44</f>
        <v>-3.8379530916844477E-2</v>
      </c>
      <c r="I45" s="21">
        <f ca="1">'1.a Compute rate of return'!AB44</f>
        <v>3.3759986255476396E-2</v>
      </c>
      <c r="J45" s="16">
        <f ca="1">'1.a Compute rate of return'!AF44</f>
        <v>9.3959731543624095E-2</v>
      </c>
    </row>
    <row r="46" spans="1:10" x14ac:dyDescent="0.3">
      <c r="A46">
        <v>39</v>
      </c>
      <c r="B46" vm="333">
        <v>45383</v>
      </c>
      <c r="C46" s="15">
        <f ca="1">'1.a Compute rate of return'!D45</f>
        <v>7.3831325301204787E-2</v>
      </c>
      <c r="D46" s="16">
        <f ca="1">'1.a Compute rate of return'!H45</f>
        <v>-3.8760766879688886E-2</v>
      </c>
      <c r="E46" s="15">
        <f ca="1">'1.a Compute rate of return'!L45</f>
        <v>-8.4308430843084273E-2</v>
      </c>
      <c r="F46" s="16">
        <f ca="1">'1.a Compute rate of return'!P45</f>
        <v>-6.1832490163012808E-2</v>
      </c>
      <c r="G46" s="21">
        <f ca="1">'1.a Compute rate of return'!T45</f>
        <v>-4.9222797927461127E-2</v>
      </c>
      <c r="H46" s="16">
        <f ca="1">'1.a Compute rate of return'!X45</f>
        <v>0</v>
      </c>
      <c r="I46" s="21">
        <f ca="1">'1.a Compute rate of return'!AB45</f>
        <v>-4.8196775801894604E-2</v>
      </c>
      <c r="J46" s="16">
        <f ca="1">'1.a Compute rate of return'!AF45</f>
        <v>-7.9754601226993807E-2</v>
      </c>
    </row>
    <row r="47" spans="1:10" x14ac:dyDescent="0.3">
      <c r="A47">
        <v>40</v>
      </c>
      <c r="B47" vm="341">
        <v>45413</v>
      </c>
      <c r="C47" s="15">
        <f ca="1">'1.a Compute rate of return'!D46</f>
        <v>7.8179696616102759E-2</v>
      </c>
      <c r="D47" s="16">
        <f ca="1">'1.a Compute rate of return'!H46</f>
        <v>1.2068217950571006E-2</v>
      </c>
      <c r="E47" s="15">
        <f ca="1">'1.a Compute rate of return'!L46</f>
        <v>0.10583224115334208</v>
      </c>
      <c r="F47" s="16">
        <f ca="1">'1.a Compute rate of return'!P46</f>
        <v>6.5907729179149055E-2</v>
      </c>
      <c r="G47" s="21">
        <f ca="1">'1.a Compute rate of return'!T46</f>
        <v>-5.449591280653944E-2</v>
      </c>
      <c r="H47" s="16">
        <f ca="1">'1.a Compute rate of return'!X46</f>
        <v>3.1042128603104339E-2</v>
      </c>
      <c r="I47" s="21">
        <f ca="1">'1.a Compute rate of return'!AB46</f>
        <v>4.365287235900122E-2</v>
      </c>
      <c r="J47" s="16">
        <f ca="1">'1.a Compute rate of return'!AF46</f>
        <v>-3.3333333333333361E-2</v>
      </c>
    </row>
    <row r="48" spans="1:10" x14ac:dyDescent="0.3">
      <c r="A48">
        <v>41</v>
      </c>
      <c r="B48" vm="349">
        <v>45444</v>
      </c>
      <c r="C48" s="15">
        <f ca="1">'1.a Compute rate of return'!D47</f>
        <v>0.19264069264069253</v>
      </c>
      <c r="D48" s="16">
        <f ca="1">'1.a Compute rate of return'!H47</f>
        <v>5.394501963584418E-2</v>
      </c>
      <c r="E48" s="15">
        <f ca="1">'1.a Compute rate of return'!L47</f>
        <v>1.0370370370370412E-2</v>
      </c>
      <c r="F48" s="16">
        <f ca="1">'1.a Compute rate of return'!P47</f>
        <v>-8.9938167509837075E-3</v>
      </c>
      <c r="G48" s="21">
        <f ca="1">'1.a Compute rate of return'!T47</f>
        <v>4.3227665706051847E-2</v>
      </c>
      <c r="H48" s="16">
        <f ca="1">'1.a Compute rate of return'!X47</f>
        <v>-1.5053763440860275E-2</v>
      </c>
      <c r="I48" s="21">
        <f ca="1">'1.a Compute rate of return'!AB47</f>
        <v>6.5584741509118194E-2</v>
      </c>
      <c r="J48" s="16">
        <f ca="1">'1.a Compute rate of return'!AF47</f>
        <v>-4.8275862068965558E-2</v>
      </c>
    </row>
    <row r="49" spans="1:10" x14ac:dyDescent="0.3">
      <c r="A49">
        <v>42</v>
      </c>
      <c r="B49" vm="358">
        <v>45474</v>
      </c>
      <c r="C49" s="15">
        <f ca="1">'1.a Compute rate of return'!D48</f>
        <v>3.4901577551305321E-3</v>
      </c>
      <c r="D49" s="16">
        <f ca="1">'1.a Compute rate of return'!H48</f>
        <v>4.9151451509095383E-2</v>
      </c>
      <c r="E49" s="15">
        <f ca="1">'1.a Compute rate of return'!L48</f>
        <v>1.3049853372434025E-2</v>
      </c>
      <c r="F49" s="16">
        <f ca="1">'1.a Compute rate of return'!P48</f>
        <v>-4.9914917753828648E-2</v>
      </c>
      <c r="G49" s="21">
        <f ca="1">'1.a Compute rate of return'!T48</f>
        <v>8.8397790055248573E-2</v>
      </c>
      <c r="H49" s="16">
        <f ca="1">'1.a Compute rate of return'!X48</f>
        <v>3.7117903930130987E-2</v>
      </c>
      <c r="I49" s="21">
        <f ca="1">'1.a Compute rate of return'!AB48</f>
        <v>7.9368817710786729E-2</v>
      </c>
      <c r="J49" s="16">
        <f ca="1">'1.a Compute rate of return'!AF48</f>
        <v>6.1594202898550866E-2</v>
      </c>
    </row>
    <row r="50" spans="1:10" x14ac:dyDescent="0.3">
      <c r="A50">
        <v>43</v>
      </c>
      <c r="B50" vm="367">
        <v>45505</v>
      </c>
      <c r="C50" s="15">
        <f ca="1">'1.a Compute rate of return'!D49</f>
        <v>4.8274902615470218E-2</v>
      </c>
      <c r="D50" s="16">
        <f ca="1">'1.a Compute rate of return'!H49</f>
        <v>-8.2655301562701861E-3</v>
      </c>
      <c r="E50" s="15">
        <f ca="1">'1.a Compute rate of return'!L49</f>
        <v>3.3724127949051934E-2</v>
      </c>
      <c r="F50" s="16">
        <f ca="1">'1.a Compute rate of return'!P49</f>
        <v>1.1940298507462643E-2</v>
      </c>
      <c r="G50" s="21">
        <f ca="1">'1.a Compute rate of return'!T49</f>
        <v>-2.5380710659897937E-3</v>
      </c>
      <c r="H50" s="16">
        <f ca="1">'1.a Compute rate of return'!X49</f>
        <v>4.4210526315789464E-2</v>
      </c>
      <c r="I50" s="21">
        <f ca="1">'1.a Compute rate of return'!AB49</f>
        <v>1.4619245036002551E-2</v>
      </c>
      <c r="J50" s="16">
        <f ca="1">'1.a Compute rate of return'!AF49</f>
        <v>9.2150170648464161E-2</v>
      </c>
    </row>
    <row r="51" spans="1:10" x14ac:dyDescent="0.3">
      <c r="A51">
        <v>44</v>
      </c>
      <c r="B51" vm="375">
        <v>45536</v>
      </c>
      <c r="C51" s="15">
        <f ca="1">'1.a Compute rate of return'!D50</f>
        <v>0.18281353682813545</v>
      </c>
      <c r="D51" s="16">
        <f ca="1">'1.a Compute rate of return'!H50</f>
        <v>-6.7977601250162945E-2</v>
      </c>
      <c r="E51" s="15">
        <f ca="1">'1.a Compute rate of return'!L50</f>
        <v>4.6205544665359803E-2</v>
      </c>
      <c r="F51" s="16">
        <f ca="1">'1.a Compute rate of return'!P50</f>
        <v>3.2448377581120985E-2</v>
      </c>
      <c r="G51" s="21">
        <f ca="1">'1.a Compute rate of return'!T50</f>
        <v>-1.2722646310432637E-2</v>
      </c>
      <c r="H51" s="16">
        <f ca="1">'1.a Compute rate of return'!X50</f>
        <v>-8.0645161290322648E-3</v>
      </c>
      <c r="I51" s="21">
        <f ca="1">'1.a Compute rate of return'!AB50</f>
        <v>-2.9462365591397949E-2</v>
      </c>
      <c r="J51" s="16">
        <f ca="1">'1.a Compute rate of return'!AF50</f>
        <v>-3.1250000000000722E-3</v>
      </c>
    </row>
    <row r="52" spans="1:10" x14ac:dyDescent="0.3">
      <c r="A52">
        <v>45</v>
      </c>
      <c r="B52" vm="383">
        <v>45566</v>
      </c>
      <c r="C52" s="15">
        <f ca="1">'1.a Compute rate of return'!D51</f>
        <v>9.3015427769986045E-2</v>
      </c>
      <c r="D52" s="16">
        <f ca="1">'1.a Compute rate of return'!H51</f>
        <v>2.3403660751712169E-3</v>
      </c>
      <c r="E52" s="15">
        <f ca="1">'1.a Compute rate of return'!L51</f>
        <v>4.0149892933620367E-4</v>
      </c>
      <c r="F52" s="16">
        <f ca="1">'1.a Compute rate of return'!P51</f>
        <v>-6.1714285714285617E-2</v>
      </c>
      <c r="G52" s="21">
        <f ca="1">'1.a Compute rate of return'!T51</f>
        <v>-1.546391752577321E-2</v>
      </c>
      <c r="H52" s="16">
        <f ca="1">'1.a Compute rate of return'!X51</f>
        <v>-8.1300813008130149E-2</v>
      </c>
      <c r="I52" s="21">
        <f ca="1">'1.a Compute rate of return'!AB51</f>
        <v>5.4361474259546599E-2</v>
      </c>
      <c r="J52" s="16">
        <f ca="1">'1.a Compute rate of return'!AF51</f>
        <v>3.1347962382445864E-3</v>
      </c>
    </row>
    <row r="53" spans="1:10" x14ac:dyDescent="0.3">
      <c r="A53">
        <v>46</v>
      </c>
      <c r="B53" vm="390">
        <v>45597</v>
      </c>
      <c r="C53" s="15">
        <f ca="1">'1.a Compute rate of return'!D52</f>
        <v>0.2928707077965404</v>
      </c>
      <c r="D53" s="16">
        <f ca="1">'1.a Compute rate of return'!H52</f>
        <v>-1.6483707963059632E-2</v>
      </c>
      <c r="E53" s="15">
        <f ca="1">'1.a Compute rate of return'!L52</f>
        <v>0.16287625418060198</v>
      </c>
      <c r="F53" s="16">
        <f ca="1">'1.a Compute rate of return'!P52</f>
        <v>-9.1352009744215656E-3</v>
      </c>
      <c r="G53" s="21">
        <f ca="1">'1.a Compute rate of return'!T52</f>
        <v>3.1413612565445052E-2</v>
      </c>
      <c r="H53" s="16">
        <f ca="1">'1.a Compute rate of return'!X52</f>
        <v>-4.4247787610618532E-3</v>
      </c>
      <c r="I53" s="21">
        <f ca="1">'1.a Compute rate of return'!AB52</f>
        <v>0.11089316987740815</v>
      </c>
      <c r="J53" s="16">
        <f ca="1">'1.a Compute rate of return'!AF52</f>
        <v>-4.0625000000000105E-2</v>
      </c>
    </row>
    <row r="54" spans="1:10" x14ac:dyDescent="0.3">
      <c r="A54">
        <v>47</v>
      </c>
      <c r="B54" vm="398">
        <v>45627</v>
      </c>
      <c r="C54" s="15">
        <f ca="1">'1.a Compute rate of return'!D53</f>
        <v>-7.0268768113064504E-3</v>
      </c>
      <c r="D54" s="16">
        <f ca="1">'1.a Compute rate of return'!H53</f>
        <v>-2.2677343916095356E-3</v>
      </c>
      <c r="E54" s="15">
        <f ca="1">'1.a Compute rate of return'!L53</f>
        <v>-3.042853034224902E-2</v>
      </c>
      <c r="F54" s="16">
        <f ca="1">'1.a Compute rate of return'!P53</f>
        <v>-7.3755377996312182E-2</v>
      </c>
      <c r="G54" s="21">
        <f ca="1">'1.a Compute rate of return'!T53</f>
        <v>1.7766497461928894E-2</v>
      </c>
      <c r="H54" s="16">
        <f ca="1">'1.a Compute rate of return'!X53</f>
        <v>-2.2222222222221749E-3</v>
      </c>
      <c r="I54" s="21">
        <f ca="1">'1.a Compute rate of return'!AB53</f>
        <v>-3.3610795812839024E-2</v>
      </c>
      <c r="J54" s="16">
        <f ca="1">'1.a Compute rate of return'!AF53</f>
        <v>-1.6286644951140006E-2</v>
      </c>
    </row>
    <row r="55" spans="1:10" x14ac:dyDescent="0.3">
      <c r="A55">
        <v>48</v>
      </c>
      <c r="B55" vm="405">
        <v>45658</v>
      </c>
      <c r="C55" s="15">
        <f ca="1">'1.a Compute rate of return'!D54</f>
        <v>0.11306572845034372</v>
      </c>
      <c r="D55" s="16">
        <f ca="1">'1.a Compute rate of return'!H54</f>
        <v>-4.0840968818807348E-3</v>
      </c>
      <c r="E55" s="15">
        <f ca="1">'1.a Compute rate of return'!L54</f>
        <v>8.7268628381585236E-2</v>
      </c>
      <c r="F55" s="16">
        <f ca="1">'1.a Compute rate of return'!P54</f>
        <v>-1.4598540145985444E-2</v>
      </c>
      <c r="G55" s="21">
        <f ca="1">'1.a Compute rate of return'!T54</f>
        <v>-1.4962593516209379E-2</v>
      </c>
      <c r="H55" s="16">
        <f ca="1">'1.a Compute rate of return'!X54</f>
        <v>-2.0044543429844065E-2</v>
      </c>
      <c r="I55" s="21">
        <f ca="1">'1.a Compute rate of return'!AB54</f>
        <v>4.7699836867862985E-2</v>
      </c>
      <c r="J55" s="16">
        <f ca="1">'1.a Compute rate of return'!AF54</f>
        <v>9.2715231788079402E-2</v>
      </c>
    </row>
    <row r="56" spans="1:10" ht="26.25" customHeight="1" x14ac:dyDescent="0.3">
      <c r="B56" s="168" t="s">
        <v>36</v>
      </c>
      <c r="C56" s="17">
        <f t="shared" ref="C56" ca="1" si="0">AVERAGE(C8:C55)</f>
        <v>4.5530185933715182E-2</v>
      </c>
      <c r="D56" s="18">
        <f ca="1">AVERAGE(D8:D55)</f>
        <v>1.8673008252727248E-3</v>
      </c>
      <c r="E56" s="17">
        <f t="shared" ref="E56" ca="1" si="1">AVERAGE(E8:E55)</f>
        <v>1.1564818027837785E-2</v>
      </c>
      <c r="F56" s="18">
        <f ca="1">AVERAGE(F8:F55)</f>
        <v>8.4991829259354855E-3</v>
      </c>
      <c r="G56" s="17">
        <f ca="1">AVERAGE(G8:G55)</f>
        <v>5.5431375324955538E-3</v>
      </c>
      <c r="H56" s="18">
        <f ca="1">AVERAGE(H8:H55)</f>
        <v>-8.2112646701124111E-3</v>
      </c>
      <c r="I56" s="17">
        <f ca="1">AVERAGE(I8:I55)</f>
        <v>1.563254330015652E-2</v>
      </c>
      <c r="J56" s="18">
        <f ca="1">AVERAGE(J8:J55)</f>
        <v>-6.2336917618514712E-3</v>
      </c>
    </row>
    <row r="57" spans="1:10" ht="25.2" customHeight="1" thickBot="1" x14ac:dyDescent="0.35">
      <c r="B57" s="114" t="s">
        <v>236</v>
      </c>
      <c r="C57" s="19">
        <f ca="1">_xlfn.STDEV.S(C8:C55)</f>
        <v>0.10936385592244387</v>
      </c>
      <c r="D57" s="20">
        <f ca="1">_xlfn.STDEV.S(D8:D55)</f>
        <v>4.9762203934419269E-2</v>
      </c>
      <c r="E57" s="19">
        <f t="shared" ref="E57" ca="1" si="2">_xlfn.STDEV.S(E8:E55)</f>
        <v>9.4151228850625754E-2</v>
      </c>
      <c r="F57" s="20">
        <f ca="1">_xlfn.STDEV.S(F8:F55)</f>
        <v>8.3522880627140153E-2</v>
      </c>
      <c r="G57" s="19">
        <f ca="1">_xlfn.STDEV.S(G8:G55)</f>
        <v>3.5698466399920525E-2</v>
      </c>
      <c r="H57" s="20">
        <f ca="1">_xlfn.STDEV.S(H8:H55)</f>
        <v>7.254003966278906E-2</v>
      </c>
      <c r="I57" s="19">
        <f ca="1">_xlfn.STDEV.S(I8:I55)</f>
        <v>6.2967475865032346E-2</v>
      </c>
      <c r="J57" s="20">
        <f ca="1">_xlfn.STDEV.S(J8:J55)</f>
        <v>9.3580805448198467E-2</v>
      </c>
    </row>
    <row r="58" spans="1:10" x14ac:dyDescent="0.3">
      <c r="C58" s="115" t="s">
        <v>8</v>
      </c>
      <c r="D58" s="115" t="s">
        <v>8</v>
      </c>
      <c r="E58" s="115" t="s">
        <v>7</v>
      </c>
      <c r="F58" s="114" t="s">
        <v>7</v>
      </c>
      <c r="G58" s="114" t="s">
        <v>5</v>
      </c>
      <c r="H58" s="114" t="s">
        <v>5</v>
      </c>
      <c r="I58" s="114" t="s">
        <v>6</v>
      </c>
      <c r="J58" s="114" t="s">
        <v>6</v>
      </c>
    </row>
    <row r="59" spans="1:10" x14ac:dyDescent="0.3">
      <c r="C59" s="6" t="s">
        <v>13</v>
      </c>
      <c r="D59" s="6" t="s">
        <v>11</v>
      </c>
      <c r="E59" s="6" t="s">
        <v>13</v>
      </c>
      <c r="F59" s="6" t="s">
        <v>12</v>
      </c>
      <c r="G59" s="6" t="s">
        <v>11</v>
      </c>
      <c r="H59" s="6" t="s">
        <v>12</v>
      </c>
      <c r="I59" s="6" t="s">
        <v>12</v>
      </c>
      <c r="J59" s="6" t="s">
        <v>13</v>
      </c>
    </row>
    <row r="61" spans="1:10" x14ac:dyDescent="0.3">
      <c r="C61" s="34" t="s">
        <v>106</v>
      </c>
      <c r="D61" s="34" t="s">
        <v>107</v>
      </c>
      <c r="E61" s="114"/>
    </row>
    <row r="62" spans="1:10" x14ac:dyDescent="0.3">
      <c r="C62" s="33">
        <v>0.01</v>
      </c>
      <c r="D62" s="7">
        <v>4.99E-2</v>
      </c>
      <c r="E62" s="115" t="s">
        <v>14</v>
      </c>
      <c r="F62" s="115" t="s">
        <v>11</v>
      </c>
    </row>
    <row r="63" spans="1:10" x14ac:dyDescent="0.3">
      <c r="C63" s="33">
        <v>0.05</v>
      </c>
      <c r="D63" s="7">
        <v>8.9899999999999994E-2</v>
      </c>
      <c r="E63" s="115" t="s">
        <v>14</v>
      </c>
      <c r="F63" s="115" t="s">
        <v>12</v>
      </c>
    </row>
    <row r="64" spans="1:10" x14ac:dyDescent="0.3">
      <c r="C64" s="33">
        <v>0.09</v>
      </c>
      <c r="D64" s="7">
        <v>0.1099</v>
      </c>
      <c r="E64" s="115" t="s">
        <v>14</v>
      </c>
      <c r="F64" s="115" t="s">
        <v>13</v>
      </c>
    </row>
    <row r="65" spans="3:6" x14ac:dyDescent="0.3">
      <c r="C65" s="114"/>
      <c r="D65" s="114"/>
      <c r="E65" s="114"/>
      <c r="F65" s="115"/>
    </row>
    <row r="68" spans="3:6" x14ac:dyDescent="0.3">
      <c r="C68" s="35"/>
      <c r="D68" s="36"/>
    </row>
    <row r="69" spans="3:6" x14ac:dyDescent="0.3">
      <c r="C69" s="35"/>
      <c r="D69" s="36"/>
    </row>
    <row r="70" spans="3:6" x14ac:dyDescent="0.3">
      <c r="C70" s="35"/>
      <c r="D70" s="36"/>
    </row>
  </sheetData>
  <mergeCells count="13">
    <mergeCell ref="P17:Q17"/>
    <mergeCell ref="R17:S17"/>
    <mergeCell ref="T17:U17"/>
    <mergeCell ref="B3:B4"/>
    <mergeCell ref="O12:O13"/>
    <mergeCell ref="P12:P13"/>
    <mergeCell ref="O6:O7"/>
    <mergeCell ref="P6:P7"/>
    <mergeCell ref="O8:O9"/>
    <mergeCell ref="P8:P9"/>
    <mergeCell ref="O10:O11"/>
    <mergeCell ref="P10:P11"/>
    <mergeCell ref="N17:O17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545A-BDD0-4630-8E47-56DCFC692EA0}">
  <sheetPr>
    <tabColor theme="9" tint="-0.499984740745262"/>
  </sheetPr>
  <dimension ref="A2:O59"/>
  <sheetViews>
    <sheetView showGridLines="0" tabSelected="1" topLeftCell="A45" zoomScaleNormal="100" workbookViewId="0">
      <selection activeCell="D15" sqref="D15"/>
    </sheetView>
  </sheetViews>
  <sheetFormatPr defaultColWidth="9.33203125" defaultRowHeight="14.4" x14ac:dyDescent="0.3"/>
  <cols>
    <col min="1" max="1" width="2.33203125" style="90" customWidth="1"/>
    <col min="2" max="2" width="6.77734375" style="89" customWidth="1"/>
    <col min="3" max="3" width="41.21875" style="90" customWidth="1"/>
    <col min="4" max="12" width="8.6640625" style="90" customWidth="1"/>
    <col min="13" max="13" width="12.44140625" style="90" customWidth="1"/>
    <col min="14" max="14" width="8.6640625" style="90" customWidth="1"/>
    <col min="15" max="15" width="15.5546875" style="90" bestFit="1" customWidth="1"/>
    <col min="16" max="16" width="13.6640625" style="90" customWidth="1"/>
    <col min="17" max="18" width="9.33203125" style="90" customWidth="1"/>
    <col min="19" max="19" width="6" style="90" bestFit="1" customWidth="1"/>
    <col min="20" max="20" width="3.5546875" style="90" bestFit="1" customWidth="1"/>
    <col min="21" max="21" width="6.5546875" style="90" customWidth="1"/>
    <col min="22" max="22" width="4.33203125" style="90" bestFit="1" customWidth="1"/>
    <col min="23" max="16384" width="9.33203125" style="90"/>
  </cols>
  <sheetData>
    <row r="2" spans="2:15" ht="18" x14ac:dyDescent="0.35">
      <c r="C2" s="239" t="s">
        <v>80</v>
      </c>
      <c r="D2" s="13"/>
    </row>
    <row r="3" spans="2:15" x14ac:dyDescent="0.3">
      <c r="C3" s="13"/>
      <c r="D3" s="13"/>
    </row>
    <row r="4" spans="2:15" ht="15" thickBot="1" x14ac:dyDescent="0.35">
      <c r="B4" s="94"/>
      <c r="C4" s="1" t="s">
        <v>16</v>
      </c>
      <c r="D4" s="252"/>
      <c r="E4" s="252"/>
      <c r="F4" s="252"/>
      <c r="G4" s="252"/>
      <c r="H4" s="252"/>
      <c r="I4" s="252"/>
      <c r="J4" s="252"/>
      <c r="K4" s="252"/>
      <c r="L4" s="252"/>
      <c r="M4"/>
      <c r="N4"/>
      <c r="O4"/>
    </row>
    <row r="5" spans="2:15" ht="15" thickBot="1" x14ac:dyDescent="0.35">
      <c r="B5" s="94"/>
      <c r="C5" s="91" t="s">
        <v>217</v>
      </c>
      <c r="D5" s="46" t="s">
        <v>13</v>
      </c>
      <c r="E5" s="39" t="s">
        <v>11</v>
      </c>
      <c r="F5" s="39" t="s">
        <v>13</v>
      </c>
      <c r="G5" s="40" t="s">
        <v>12</v>
      </c>
      <c r="H5" s="39" t="s">
        <v>11</v>
      </c>
      <c r="I5" s="40" t="s">
        <v>12</v>
      </c>
      <c r="J5" s="39" t="s">
        <v>12</v>
      </c>
      <c r="K5" s="39" t="s">
        <v>13</v>
      </c>
      <c r="L5" s="93"/>
      <c r="M5"/>
      <c r="N5"/>
      <c r="O5"/>
    </row>
    <row r="6" spans="2:15" ht="15" thickBot="1" x14ac:dyDescent="0.35">
      <c r="B6" s="94"/>
      <c r="C6" s="91" t="s">
        <v>215</v>
      </c>
      <c r="D6" s="25" t="s">
        <v>37</v>
      </c>
      <c r="E6" s="24" t="s">
        <v>38</v>
      </c>
      <c r="F6" s="24" t="s">
        <v>39</v>
      </c>
      <c r="G6" s="24" t="s">
        <v>40</v>
      </c>
      <c r="H6" s="24" t="s">
        <v>41</v>
      </c>
      <c r="I6" s="24" t="s">
        <v>42</v>
      </c>
      <c r="J6" s="24" t="s">
        <v>43</v>
      </c>
      <c r="K6" s="25" t="s">
        <v>44</v>
      </c>
      <c r="L6" s="93"/>
      <c r="M6"/>
      <c r="N6"/>
      <c r="O6"/>
    </row>
    <row r="7" spans="2:15" ht="15" thickBot="1" x14ac:dyDescent="0.35">
      <c r="B7" s="94"/>
      <c r="C7" s="59" t="s">
        <v>221</v>
      </c>
      <c r="D7" s="242">
        <v>0.05</v>
      </c>
      <c r="E7" s="243">
        <v>9.9999999999999978E-2</v>
      </c>
      <c r="F7" s="244">
        <v>4.9999999999999989E-2</v>
      </c>
      <c r="G7" s="243">
        <v>0.10000000000000003</v>
      </c>
      <c r="H7" s="244">
        <v>0.4</v>
      </c>
      <c r="I7" s="243">
        <v>5.000000000000001E-2</v>
      </c>
      <c r="J7" s="244">
        <v>0.19999999999999996</v>
      </c>
      <c r="K7" s="243">
        <v>0.05</v>
      </c>
      <c r="L7" s="93"/>
      <c r="M7"/>
      <c r="N7"/>
      <c r="O7"/>
    </row>
    <row r="8" spans="2:15" x14ac:dyDescent="0.3">
      <c r="B8" s="94"/>
      <c r="C8" s="253"/>
      <c r="D8" s="173"/>
      <c r="E8" s="173"/>
      <c r="F8" s="173"/>
      <c r="G8" s="173"/>
      <c r="H8" s="173"/>
      <c r="I8" s="173"/>
      <c r="J8" s="173"/>
      <c r="K8" s="173"/>
      <c r="L8" s="1"/>
      <c r="M8"/>
      <c r="N8"/>
      <c r="O8"/>
    </row>
    <row r="9" spans="2:15" ht="12" customHeight="1" x14ac:dyDescent="0.3">
      <c r="B9" s="9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/>
      <c r="N9"/>
      <c r="O9"/>
    </row>
    <row r="10" spans="2:15" ht="15" thickBot="1" x14ac:dyDescent="0.35">
      <c r="B10" s="94"/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252"/>
      <c r="M10"/>
      <c r="N10"/>
      <c r="O10"/>
    </row>
    <row r="11" spans="2:15" ht="12" customHeight="1" thickBot="1" x14ac:dyDescent="0.35">
      <c r="B11" s="94"/>
      <c r="C11" s="91" t="s">
        <v>217</v>
      </c>
      <c r="D11" s="47" t="s">
        <v>13</v>
      </c>
      <c r="E11" s="48" t="s">
        <v>11</v>
      </c>
      <c r="F11" s="47" t="s">
        <v>13</v>
      </c>
      <c r="G11" s="48" t="s">
        <v>12</v>
      </c>
      <c r="H11" s="47" t="s">
        <v>11</v>
      </c>
      <c r="I11" s="48" t="s">
        <v>12</v>
      </c>
      <c r="J11" s="47" t="s">
        <v>12</v>
      </c>
      <c r="K11" s="47" t="s">
        <v>13</v>
      </c>
      <c r="L11" s="1"/>
      <c r="M11"/>
      <c r="N11"/>
      <c r="O11"/>
    </row>
    <row r="12" spans="2:15" ht="12" customHeight="1" thickBot="1" x14ac:dyDescent="0.35">
      <c r="B12" s="94"/>
      <c r="C12" s="91" t="s">
        <v>215</v>
      </c>
      <c r="D12" s="25" t="s">
        <v>37</v>
      </c>
      <c r="E12" s="41" t="s">
        <v>38</v>
      </c>
      <c r="F12" s="25" t="s">
        <v>39</v>
      </c>
      <c r="G12" s="41" t="s">
        <v>40</v>
      </c>
      <c r="H12" s="25" t="s">
        <v>41</v>
      </c>
      <c r="I12" s="41" t="s">
        <v>42</v>
      </c>
      <c r="J12" s="25" t="s">
        <v>43</v>
      </c>
      <c r="K12" s="25" t="s">
        <v>44</v>
      </c>
      <c r="L12" s="1"/>
      <c r="M12"/>
      <c r="N12"/>
      <c r="O12"/>
    </row>
    <row r="13" spans="2:15" ht="12" customHeight="1" thickBot="1" x14ac:dyDescent="0.35">
      <c r="B13" s="94"/>
      <c r="C13" s="59" t="s">
        <v>216</v>
      </c>
      <c r="D13" s="240">
        <v>4.5499999999999999E-2</v>
      </c>
      <c r="E13" s="241">
        <v>1.9E-3</v>
      </c>
      <c r="F13" s="240">
        <v>1.1599999999999999E-2</v>
      </c>
      <c r="G13" s="241">
        <v>8.5000000000000006E-3</v>
      </c>
      <c r="H13" s="240">
        <v>5.4999999999999997E-3</v>
      </c>
      <c r="I13" s="241">
        <v>-8.2000000000000007E-3</v>
      </c>
      <c r="J13" s="240">
        <v>1.5599999999999999E-2</v>
      </c>
      <c r="K13" s="240">
        <v>-6.1999999999999998E-3</v>
      </c>
      <c r="L13" s="1"/>
      <c r="M13"/>
      <c r="N13"/>
      <c r="O13"/>
    </row>
    <row r="14" spans="2:15" ht="12" customHeight="1" thickBot="1" x14ac:dyDescent="0.35">
      <c r="B14" s="94"/>
      <c r="C14" s="1"/>
      <c r="D14" s="1"/>
      <c r="E14" s="1"/>
      <c r="F14" s="1"/>
      <c r="G14" s="1"/>
      <c r="H14" s="1"/>
      <c r="I14" s="1"/>
      <c r="J14" s="1"/>
      <c r="K14" s="1"/>
      <c r="L14" s="1"/>
      <c r="M14"/>
      <c r="N14"/>
      <c r="O14"/>
    </row>
    <row r="15" spans="2:15" ht="19.2" customHeight="1" thickBot="1" x14ac:dyDescent="0.35">
      <c r="C15" s="91" t="s">
        <v>110</v>
      </c>
      <c r="D15" s="237">
        <f>SUMPRODUCT(D7:K7,D13:K13)</f>
        <v>8.4950000000000008E-3</v>
      </c>
      <c r="E15"/>
      <c r="F15"/>
      <c r="G15"/>
      <c r="H15"/>
      <c r="I15"/>
      <c r="J15"/>
      <c r="K15"/>
      <c r="L15"/>
      <c r="M15"/>
      <c r="N15" s="1"/>
      <c r="O15"/>
    </row>
    <row r="16" spans="2:15" x14ac:dyDescent="0.3">
      <c r="C16"/>
      <c r="E16"/>
      <c r="F16"/>
      <c r="G16"/>
      <c r="H16"/>
      <c r="I16"/>
      <c r="J16"/>
      <c r="K16"/>
      <c r="L16"/>
      <c r="M16"/>
      <c r="N16"/>
      <c r="O16"/>
    </row>
    <row r="17" spans="1:15" ht="15" thickBot="1" x14ac:dyDescent="0.35">
      <c r="C17" s="1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thickBot="1" x14ac:dyDescent="0.35">
      <c r="C18" s="60" t="s">
        <v>18</v>
      </c>
      <c r="D18" s="42" t="s">
        <v>13</v>
      </c>
      <c r="E18" s="44" t="s">
        <v>11</v>
      </c>
      <c r="F18" s="45" t="s">
        <v>13</v>
      </c>
      <c r="G18" s="44" t="s">
        <v>12</v>
      </c>
      <c r="H18" s="45" t="s">
        <v>11</v>
      </c>
      <c r="I18" s="44" t="s">
        <v>12</v>
      </c>
      <c r="J18" s="45" t="s">
        <v>12</v>
      </c>
      <c r="K18" s="44" t="s">
        <v>13</v>
      </c>
      <c r="L18" s="299" t="s">
        <v>113</v>
      </c>
      <c r="M18" s="92" t="s">
        <v>1</v>
      </c>
      <c r="N18" s="299" t="s">
        <v>114</v>
      </c>
      <c r="O18"/>
    </row>
    <row r="19" spans="1:15" ht="15" customHeight="1" thickBot="1" x14ac:dyDescent="0.35">
      <c r="C19" s="62"/>
      <c r="D19" s="43" t="s">
        <v>37</v>
      </c>
      <c r="E19" s="25" t="s">
        <v>38</v>
      </c>
      <c r="F19" s="41" t="s">
        <v>39</v>
      </c>
      <c r="G19" s="25" t="s">
        <v>40</v>
      </c>
      <c r="H19" s="41" t="s">
        <v>41</v>
      </c>
      <c r="I19" s="25" t="s">
        <v>42</v>
      </c>
      <c r="J19" s="41" t="s">
        <v>43</v>
      </c>
      <c r="K19" s="25" t="s">
        <v>44</v>
      </c>
      <c r="L19" s="300"/>
      <c r="M19" s="300" t="s">
        <v>19</v>
      </c>
      <c r="N19" s="300"/>
    </row>
    <row r="20" spans="1:15" ht="15" customHeight="1" thickBot="1" x14ac:dyDescent="0.35">
      <c r="C20" s="63"/>
      <c r="D20" s="54" t="s">
        <v>207</v>
      </c>
      <c r="E20" s="49" t="s">
        <v>208</v>
      </c>
      <c r="F20" s="50" t="s">
        <v>209</v>
      </c>
      <c r="G20" s="49" t="s">
        <v>210</v>
      </c>
      <c r="H20" s="50" t="s">
        <v>211</v>
      </c>
      <c r="I20" s="49" t="s">
        <v>212</v>
      </c>
      <c r="J20" s="50" t="s">
        <v>213</v>
      </c>
      <c r="K20" s="49" t="s">
        <v>214</v>
      </c>
      <c r="L20" s="301"/>
      <c r="M20" s="301"/>
      <c r="N20" s="301"/>
    </row>
    <row r="21" spans="1:15" ht="28.8" customHeight="1" x14ac:dyDescent="0.3">
      <c r="A21" s="93"/>
      <c r="B21" s="94" t="s">
        <v>163</v>
      </c>
      <c r="C21" s="95" t="s">
        <v>109</v>
      </c>
      <c r="D21" s="66">
        <v>1</v>
      </c>
      <c r="E21" s="65">
        <v>0</v>
      </c>
      <c r="F21" s="66">
        <v>1</v>
      </c>
      <c r="G21" s="65">
        <v>0</v>
      </c>
      <c r="H21" s="66">
        <v>0</v>
      </c>
      <c r="I21" s="65">
        <v>0</v>
      </c>
      <c r="J21" s="66">
        <v>0</v>
      </c>
      <c r="K21" s="65">
        <v>1</v>
      </c>
      <c r="L21" s="96">
        <f>SUMPRODUCT(D21:K21,$D7:$K7)</f>
        <v>0.15</v>
      </c>
      <c r="M21" s="97" t="s">
        <v>111</v>
      </c>
      <c r="N21" s="98">
        <v>0.15</v>
      </c>
      <c r="O21"/>
    </row>
    <row r="22" spans="1:15" ht="28.2" customHeight="1" x14ac:dyDescent="0.3">
      <c r="A22" s="93"/>
      <c r="B22" s="94" t="s">
        <v>164</v>
      </c>
      <c r="C22" s="79" t="s">
        <v>176</v>
      </c>
      <c r="D22" s="71">
        <v>0</v>
      </c>
      <c r="E22" s="70">
        <v>1</v>
      </c>
      <c r="F22" s="71">
        <v>0</v>
      </c>
      <c r="G22" s="70">
        <v>0</v>
      </c>
      <c r="H22" s="71">
        <v>1</v>
      </c>
      <c r="I22" s="70">
        <v>0</v>
      </c>
      <c r="J22" s="71">
        <v>0</v>
      </c>
      <c r="K22" s="70">
        <v>0</v>
      </c>
      <c r="L22" s="99">
        <f>SUMPRODUCT(D22:K22,$D7:$K7)</f>
        <v>0.5</v>
      </c>
      <c r="M22" s="100" t="s">
        <v>112</v>
      </c>
      <c r="N22" s="74">
        <v>0.5</v>
      </c>
      <c r="O22"/>
    </row>
    <row r="23" spans="1:15" ht="31.8" customHeight="1" x14ac:dyDescent="0.3">
      <c r="A23" s="93" t="s">
        <v>165</v>
      </c>
      <c r="B23" s="101" t="s">
        <v>116</v>
      </c>
      <c r="C23" s="79" t="s">
        <v>238</v>
      </c>
      <c r="D23" s="71">
        <v>1</v>
      </c>
      <c r="E23" s="70">
        <v>1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99">
        <f>SUMPRODUCT(D23:K23,$D7:$K7)</f>
        <v>0.14999999999999997</v>
      </c>
      <c r="M23" s="100" t="s">
        <v>112</v>
      </c>
      <c r="N23" s="74">
        <v>0.15</v>
      </c>
      <c r="O23"/>
    </row>
    <row r="24" spans="1:15" ht="48.6" customHeight="1" x14ac:dyDescent="0.3">
      <c r="A24" s="93"/>
      <c r="B24" s="94" t="s">
        <v>117</v>
      </c>
      <c r="C24" s="79" t="s">
        <v>237</v>
      </c>
      <c r="D24" s="71">
        <v>0</v>
      </c>
      <c r="E24" s="70">
        <v>0</v>
      </c>
      <c r="F24" s="71">
        <v>1</v>
      </c>
      <c r="G24" s="70">
        <v>1</v>
      </c>
      <c r="H24" s="71">
        <v>0</v>
      </c>
      <c r="I24" s="70">
        <v>0</v>
      </c>
      <c r="J24" s="71">
        <v>0</v>
      </c>
      <c r="K24" s="70">
        <v>0</v>
      </c>
      <c r="L24" s="99">
        <f>SUMPRODUCT(D24:K24,$D7:$K7)</f>
        <v>0.15000000000000002</v>
      </c>
      <c r="M24" s="100" t="s">
        <v>112</v>
      </c>
      <c r="N24" s="74">
        <v>0.15</v>
      </c>
      <c r="O24"/>
    </row>
    <row r="25" spans="1:15" ht="45" customHeight="1" x14ac:dyDescent="0.3">
      <c r="A25" s="93"/>
      <c r="B25" s="94" t="s">
        <v>118</v>
      </c>
      <c r="C25" s="79" t="s">
        <v>239</v>
      </c>
      <c r="D25" s="71">
        <v>0</v>
      </c>
      <c r="E25" s="70">
        <v>0</v>
      </c>
      <c r="F25" s="71">
        <v>0</v>
      </c>
      <c r="G25" s="70">
        <v>0</v>
      </c>
      <c r="H25" s="71">
        <v>1</v>
      </c>
      <c r="I25" s="70">
        <v>1</v>
      </c>
      <c r="J25" s="71">
        <v>0</v>
      </c>
      <c r="K25" s="70">
        <v>0</v>
      </c>
      <c r="L25" s="99">
        <f>SUMPRODUCT(D25:K25,$D7:$K7)</f>
        <v>0.45</v>
      </c>
      <c r="M25" s="100" t="s">
        <v>112</v>
      </c>
      <c r="N25" s="74">
        <v>0.15</v>
      </c>
      <c r="O25"/>
    </row>
    <row r="26" spans="1:15" ht="31.2" customHeight="1" x14ac:dyDescent="0.3">
      <c r="A26" s="93"/>
      <c r="B26" s="94" t="s">
        <v>167</v>
      </c>
      <c r="C26" s="79" t="s">
        <v>240</v>
      </c>
      <c r="D26" s="71">
        <v>0</v>
      </c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1</v>
      </c>
      <c r="K26" s="70">
        <v>1</v>
      </c>
      <c r="L26" s="99">
        <f>SUMPRODUCT(D26:K26,$D7:$K7)</f>
        <v>0.24999999999999994</v>
      </c>
      <c r="M26" s="100" t="s">
        <v>112</v>
      </c>
      <c r="N26" s="74">
        <v>0.2</v>
      </c>
      <c r="O26"/>
    </row>
    <row r="27" spans="1:15" ht="27.6" customHeight="1" x14ac:dyDescent="0.3">
      <c r="A27" s="93" t="s">
        <v>166</v>
      </c>
      <c r="B27" s="94" t="s">
        <v>168</v>
      </c>
      <c r="C27" s="79" t="s">
        <v>241</v>
      </c>
      <c r="D27" s="102">
        <v>1</v>
      </c>
      <c r="E27" s="103">
        <v>0</v>
      </c>
      <c r="F27" s="102">
        <v>0</v>
      </c>
      <c r="G27" s="103">
        <v>0</v>
      </c>
      <c r="H27" s="102">
        <v>0</v>
      </c>
      <c r="I27" s="103">
        <v>0</v>
      </c>
      <c r="J27" s="102">
        <v>0</v>
      </c>
      <c r="K27" s="103">
        <v>0</v>
      </c>
      <c r="L27" s="104">
        <f>SUMPRODUCT(D27:K27,$D7:$K7)</f>
        <v>0.05</v>
      </c>
      <c r="M27" s="103" t="s">
        <v>112</v>
      </c>
      <c r="N27" s="78">
        <v>0.05</v>
      </c>
    </row>
    <row r="28" spans="1:15" ht="28.2" customHeight="1" x14ac:dyDescent="0.3">
      <c r="A28" s="93"/>
      <c r="B28" s="94" t="s">
        <v>169</v>
      </c>
      <c r="C28" s="79" t="s">
        <v>242</v>
      </c>
      <c r="D28" s="102">
        <v>0</v>
      </c>
      <c r="E28" s="103">
        <v>1</v>
      </c>
      <c r="F28" s="102">
        <v>0</v>
      </c>
      <c r="G28" s="103">
        <v>0</v>
      </c>
      <c r="H28" s="102">
        <v>0</v>
      </c>
      <c r="I28" s="103">
        <v>0</v>
      </c>
      <c r="J28" s="102">
        <v>0</v>
      </c>
      <c r="K28" s="103">
        <v>0</v>
      </c>
      <c r="L28" s="104">
        <f>SUMPRODUCT(D28:K28,$D7:$K7)</f>
        <v>9.9999999999999978E-2</v>
      </c>
      <c r="M28" s="103" t="s">
        <v>112</v>
      </c>
      <c r="N28" s="78">
        <v>0.05</v>
      </c>
    </row>
    <row r="29" spans="1:15" ht="28.2" customHeight="1" x14ac:dyDescent="0.3">
      <c r="A29" s="93"/>
      <c r="B29" s="94" t="s">
        <v>170</v>
      </c>
      <c r="C29" s="79" t="s">
        <v>243</v>
      </c>
      <c r="D29" s="102">
        <v>0</v>
      </c>
      <c r="E29" s="103">
        <v>0</v>
      </c>
      <c r="F29" s="102">
        <v>1</v>
      </c>
      <c r="G29" s="103">
        <v>0</v>
      </c>
      <c r="H29" s="102">
        <v>0</v>
      </c>
      <c r="I29" s="103">
        <v>0</v>
      </c>
      <c r="J29" s="102">
        <v>0</v>
      </c>
      <c r="K29" s="103">
        <v>0</v>
      </c>
      <c r="L29" s="104">
        <f>SUMPRODUCT(D29:K29,$D7:$K7)</f>
        <v>4.9999999999999989E-2</v>
      </c>
      <c r="M29" s="103" t="s">
        <v>112</v>
      </c>
      <c r="N29" s="78">
        <v>0.05</v>
      </c>
    </row>
    <row r="30" spans="1:15" ht="27.6" customHeight="1" x14ac:dyDescent="0.3">
      <c r="A30" s="93"/>
      <c r="B30" s="94" t="s">
        <v>171</v>
      </c>
      <c r="C30" s="79" t="s">
        <v>244</v>
      </c>
      <c r="D30" s="102">
        <v>0</v>
      </c>
      <c r="E30" s="103">
        <v>0</v>
      </c>
      <c r="F30" s="102">
        <v>0</v>
      </c>
      <c r="G30" s="103">
        <v>1</v>
      </c>
      <c r="H30" s="102">
        <v>0</v>
      </c>
      <c r="I30" s="103">
        <v>0</v>
      </c>
      <c r="J30" s="102">
        <v>0</v>
      </c>
      <c r="K30" s="103">
        <v>0</v>
      </c>
      <c r="L30" s="104">
        <f>SUMPRODUCT(D30:K30,$D7:$K7)</f>
        <v>0.10000000000000003</v>
      </c>
      <c r="M30" s="103" t="s">
        <v>112</v>
      </c>
      <c r="N30" s="78">
        <v>0.05</v>
      </c>
    </row>
    <row r="31" spans="1:15" ht="31.2" customHeight="1" x14ac:dyDescent="0.3">
      <c r="A31" s="93"/>
      <c r="B31" s="94" t="s">
        <v>172</v>
      </c>
      <c r="C31" s="79" t="s">
        <v>245</v>
      </c>
      <c r="D31" s="102">
        <v>0</v>
      </c>
      <c r="E31" s="103">
        <v>0</v>
      </c>
      <c r="F31" s="102">
        <v>0</v>
      </c>
      <c r="G31" s="103">
        <v>0</v>
      </c>
      <c r="H31" s="102">
        <v>1</v>
      </c>
      <c r="I31" s="103">
        <v>0</v>
      </c>
      <c r="J31" s="102">
        <v>0</v>
      </c>
      <c r="K31" s="103">
        <v>0</v>
      </c>
      <c r="L31" s="104">
        <f>SUMPRODUCT(D31:K31,$D7:$K7)</f>
        <v>0.4</v>
      </c>
      <c r="M31" s="103" t="s">
        <v>112</v>
      </c>
      <c r="N31" s="78">
        <v>0.05</v>
      </c>
    </row>
    <row r="32" spans="1:15" ht="28.8" customHeight="1" x14ac:dyDescent="0.3">
      <c r="A32" s="93"/>
      <c r="B32" s="94" t="s">
        <v>173</v>
      </c>
      <c r="C32" s="79" t="s">
        <v>246</v>
      </c>
      <c r="D32" s="102">
        <v>0</v>
      </c>
      <c r="E32" s="103">
        <v>0</v>
      </c>
      <c r="F32" s="102">
        <v>0</v>
      </c>
      <c r="G32" s="103">
        <v>0</v>
      </c>
      <c r="H32" s="102">
        <v>0</v>
      </c>
      <c r="I32" s="103">
        <v>1</v>
      </c>
      <c r="J32" s="102">
        <v>0</v>
      </c>
      <c r="K32" s="103">
        <v>0</v>
      </c>
      <c r="L32" s="104">
        <f>SUMPRODUCT(D32:K32,$D7:$K7)</f>
        <v>5.000000000000001E-2</v>
      </c>
      <c r="M32" s="103" t="s">
        <v>112</v>
      </c>
      <c r="N32" s="78">
        <v>0.05</v>
      </c>
    </row>
    <row r="33" spans="1:14" ht="29.4" customHeight="1" x14ac:dyDescent="0.3">
      <c r="A33" s="93"/>
      <c r="B33" s="94" t="s">
        <v>174</v>
      </c>
      <c r="C33" s="79" t="s">
        <v>247</v>
      </c>
      <c r="D33" s="102">
        <v>0</v>
      </c>
      <c r="E33" s="103">
        <v>0</v>
      </c>
      <c r="F33" s="102">
        <v>0</v>
      </c>
      <c r="G33" s="103">
        <v>0</v>
      </c>
      <c r="H33" s="102">
        <v>0</v>
      </c>
      <c r="I33" s="103">
        <v>0</v>
      </c>
      <c r="J33" s="102">
        <v>1</v>
      </c>
      <c r="K33" s="103">
        <v>0</v>
      </c>
      <c r="L33" s="104">
        <f>SUMPRODUCT(D33:K33,$D7:$K7)</f>
        <v>0.19999999999999996</v>
      </c>
      <c r="M33" s="103" t="s">
        <v>112</v>
      </c>
      <c r="N33" s="78">
        <v>0.05</v>
      </c>
    </row>
    <row r="34" spans="1:14" ht="29.4" customHeight="1" x14ac:dyDescent="0.3">
      <c r="A34" s="93"/>
      <c r="B34" s="94" t="s">
        <v>175</v>
      </c>
      <c r="C34" s="79" t="s">
        <v>248</v>
      </c>
      <c r="D34" s="102">
        <v>0</v>
      </c>
      <c r="E34" s="103">
        <v>0</v>
      </c>
      <c r="F34" s="102">
        <v>0</v>
      </c>
      <c r="G34" s="103">
        <v>0</v>
      </c>
      <c r="H34" s="102">
        <v>0</v>
      </c>
      <c r="I34" s="103">
        <v>0</v>
      </c>
      <c r="J34" s="102">
        <v>0</v>
      </c>
      <c r="K34" s="103">
        <v>1</v>
      </c>
      <c r="L34" s="104">
        <f>SUMPRODUCT(D34:K34,$D7:$K7)</f>
        <v>0.05</v>
      </c>
      <c r="M34" s="103" t="s">
        <v>112</v>
      </c>
      <c r="N34" s="78">
        <v>0.05</v>
      </c>
    </row>
    <row r="35" spans="1:14" ht="31.8" customHeight="1" x14ac:dyDescent="0.3">
      <c r="A35" s="93"/>
      <c r="B35" s="94" t="s">
        <v>202</v>
      </c>
      <c r="C35" s="79" t="s">
        <v>249</v>
      </c>
      <c r="D35" s="102">
        <v>0</v>
      </c>
      <c r="E35" s="103">
        <v>0</v>
      </c>
      <c r="F35" s="102">
        <v>0</v>
      </c>
      <c r="G35" s="103">
        <v>1</v>
      </c>
      <c r="H35" s="102">
        <v>0</v>
      </c>
      <c r="I35" s="103">
        <v>1</v>
      </c>
      <c r="J35" s="102">
        <v>1</v>
      </c>
      <c r="K35" s="103">
        <v>0</v>
      </c>
      <c r="L35" s="104">
        <f>SUMPRODUCT(D35:K35,$D7:$K7)</f>
        <v>0.35</v>
      </c>
      <c r="M35" s="103" t="s">
        <v>112</v>
      </c>
      <c r="N35" s="78">
        <v>0.25</v>
      </c>
    </row>
    <row r="36" spans="1:14" ht="30" customHeight="1" thickBot="1" x14ac:dyDescent="0.35">
      <c r="A36" s="93"/>
      <c r="B36" s="94" t="s">
        <v>203</v>
      </c>
      <c r="C36" s="105" t="s">
        <v>115</v>
      </c>
      <c r="D36" s="106">
        <v>1</v>
      </c>
      <c r="E36" s="107">
        <v>1</v>
      </c>
      <c r="F36" s="106">
        <v>1</v>
      </c>
      <c r="G36" s="107">
        <v>1</v>
      </c>
      <c r="H36" s="106">
        <v>1</v>
      </c>
      <c r="I36" s="107">
        <v>1</v>
      </c>
      <c r="J36" s="106">
        <v>1</v>
      </c>
      <c r="K36" s="107">
        <v>1</v>
      </c>
      <c r="L36" s="108">
        <f>SUMPRODUCT(D36:K36,$D7:$K7)</f>
        <v>1</v>
      </c>
      <c r="M36" s="109" t="s">
        <v>119</v>
      </c>
      <c r="N36" s="86">
        <v>1</v>
      </c>
    </row>
    <row r="37" spans="1:14" ht="9.6" customHeight="1" x14ac:dyDescent="0.3">
      <c r="C37" s="110"/>
    </row>
    <row r="38" spans="1:14" x14ac:dyDescent="0.3">
      <c r="C38" s="110"/>
    </row>
    <row r="39" spans="1:14" x14ac:dyDescent="0.3">
      <c r="C39" s="111"/>
    </row>
    <row r="40" spans="1:14" x14ac:dyDescent="0.3">
      <c r="C40" s="111"/>
    </row>
    <row r="42" spans="1:14" x14ac:dyDescent="0.3">
      <c r="F42" s="112"/>
    </row>
    <row r="43" spans="1:14" x14ac:dyDescent="0.3">
      <c r="F43" s="112"/>
    </row>
    <row r="44" spans="1:14" x14ac:dyDescent="0.3">
      <c r="F44" s="112"/>
    </row>
    <row r="45" spans="1:14" x14ac:dyDescent="0.3">
      <c r="F45" s="112"/>
      <c r="G45" s="113"/>
    </row>
    <row r="46" spans="1:14" x14ac:dyDescent="0.3">
      <c r="F46" s="112"/>
    </row>
    <row r="47" spans="1:14" x14ac:dyDescent="0.3">
      <c r="F47" s="112"/>
    </row>
    <row r="48" spans="1:14" x14ac:dyDescent="0.3">
      <c r="F48" s="112"/>
    </row>
    <row r="49" spans="6:12" x14ac:dyDescent="0.3">
      <c r="F49" s="112"/>
    </row>
    <row r="50" spans="6:12" x14ac:dyDescent="0.3">
      <c r="F50" s="112"/>
      <c r="G50" s="113"/>
    </row>
    <row r="51" spans="6:12" x14ac:dyDescent="0.3">
      <c r="F51" s="112"/>
    </row>
    <row r="52" spans="6:12" x14ac:dyDescent="0.3">
      <c r="F52" s="112"/>
    </row>
    <row r="53" spans="6:12" x14ac:dyDescent="0.3">
      <c r="F53" s="112"/>
    </row>
    <row r="54" spans="6:12" x14ac:dyDescent="0.3">
      <c r="F54" s="112"/>
    </row>
    <row r="55" spans="6:12" x14ac:dyDescent="0.3">
      <c r="F55" s="112"/>
      <c r="G55" s="113"/>
    </row>
    <row r="56" spans="6:12" x14ac:dyDescent="0.3">
      <c r="F56" s="112"/>
    </row>
    <row r="57" spans="6:12" x14ac:dyDescent="0.3">
      <c r="F57" s="112"/>
      <c r="L57" s="113"/>
    </row>
    <row r="58" spans="6:12" x14ac:dyDescent="0.3">
      <c r="F58" s="112"/>
    </row>
    <row r="59" spans="6:12" x14ac:dyDescent="0.3">
      <c r="F59" s="112"/>
      <c r="G59" s="113"/>
    </row>
  </sheetData>
  <mergeCells count="3">
    <mergeCell ref="L18:L20"/>
    <mergeCell ref="N18:N20"/>
    <mergeCell ref="M19:M20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2206-2325-4A3C-912E-DFC56705A1D4}">
  <sheetPr>
    <tabColor theme="9" tint="-0.499984740745262"/>
  </sheetPr>
  <dimension ref="A1:H36"/>
  <sheetViews>
    <sheetView showGridLines="0" zoomScaleNormal="100" workbookViewId="0">
      <selection activeCell="M9" sqref="M9"/>
    </sheetView>
  </sheetViews>
  <sheetFormatPr defaultRowHeight="14.4" x14ac:dyDescent="0.3"/>
  <cols>
    <col min="1" max="1" width="2.33203125" customWidth="1"/>
    <col min="2" max="2" width="5.88671875" bestFit="1" customWidth="1"/>
    <col min="3" max="3" width="94.77734375" bestFit="1" customWidth="1"/>
    <col min="4" max="4" width="5.77734375" bestFit="1" customWidth="1"/>
    <col min="5" max="5" width="8.33203125" bestFit="1" customWidth="1"/>
    <col min="6" max="6" width="10.109375" bestFit="1" customWidth="1"/>
    <col min="7" max="7" width="12.6640625" bestFit="1" customWidth="1"/>
    <col min="8" max="8" width="9.21875" bestFit="1" customWidth="1"/>
  </cols>
  <sheetData>
    <row r="1" spans="1:8" x14ac:dyDescent="0.3">
      <c r="A1" s="1" t="s">
        <v>120</v>
      </c>
    </row>
    <row r="2" spans="1:8" x14ac:dyDescent="0.3">
      <c r="A2" s="1" t="s">
        <v>121</v>
      </c>
    </row>
    <row r="3" spans="1:8" x14ac:dyDescent="0.3">
      <c r="A3" s="1" t="s">
        <v>177</v>
      </c>
    </row>
    <row r="6" spans="1:8" ht="15" thickBot="1" x14ac:dyDescent="0.35">
      <c r="A6" t="s">
        <v>122</v>
      </c>
    </row>
    <row r="7" spans="1:8" x14ac:dyDescent="0.3">
      <c r="B7" s="37"/>
      <c r="C7" s="37"/>
      <c r="D7" s="37" t="s">
        <v>125</v>
      </c>
      <c r="E7" s="37" t="s">
        <v>127</v>
      </c>
      <c r="F7" s="37" t="s">
        <v>129</v>
      </c>
      <c r="G7" s="37" t="s">
        <v>131</v>
      </c>
      <c r="H7" s="37" t="s">
        <v>131</v>
      </c>
    </row>
    <row r="8" spans="1:8" ht="15" thickBot="1" x14ac:dyDescent="0.35">
      <c r="B8" s="38" t="s">
        <v>123</v>
      </c>
      <c r="C8" s="38" t="s">
        <v>124</v>
      </c>
      <c r="D8" s="38" t="s">
        <v>126</v>
      </c>
      <c r="E8" s="38" t="s">
        <v>128</v>
      </c>
      <c r="F8" s="38" t="s">
        <v>130</v>
      </c>
      <c r="G8" s="38" t="s">
        <v>132</v>
      </c>
      <c r="H8" s="38" t="s">
        <v>133</v>
      </c>
    </row>
    <row r="9" spans="1:8" x14ac:dyDescent="0.3">
      <c r="B9" s="87" t="s">
        <v>139</v>
      </c>
      <c r="C9" s="87" t="s">
        <v>37</v>
      </c>
      <c r="D9" s="87">
        <v>0.05</v>
      </c>
      <c r="E9" s="87">
        <v>0</v>
      </c>
      <c r="F9" s="87">
        <v>4.5499999999999999E-2</v>
      </c>
      <c r="G9" s="87">
        <v>1E+30</v>
      </c>
      <c r="H9" s="87">
        <v>3.040000000000001E-2</v>
      </c>
    </row>
    <row r="10" spans="1:8" x14ac:dyDescent="0.3">
      <c r="B10" s="87" t="s">
        <v>140</v>
      </c>
      <c r="C10" s="87" t="s">
        <v>38</v>
      </c>
      <c r="D10" s="87">
        <v>9.9999999999999978E-2</v>
      </c>
      <c r="E10" s="87">
        <v>0</v>
      </c>
      <c r="F10" s="87">
        <v>1.8999999999999989E-3</v>
      </c>
      <c r="G10" s="87">
        <v>3.600000000000006E-3</v>
      </c>
      <c r="H10" s="87">
        <v>1E+30</v>
      </c>
    </row>
    <row r="11" spans="1:8" x14ac:dyDescent="0.3">
      <c r="B11" s="87" t="s">
        <v>141</v>
      </c>
      <c r="C11" s="87" t="s">
        <v>39</v>
      </c>
      <c r="D11" s="87">
        <v>4.9999999999999989E-2</v>
      </c>
      <c r="E11" s="87">
        <v>0</v>
      </c>
      <c r="F11" s="87">
        <v>1.1599999999999999E-2</v>
      </c>
      <c r="G11" s="87">
        <v>3.040000000000001E-2</v>
      </c>
      <c r="H11" s="87">
        <v>1E+30</v>
      </c>
    </row>
    <row r="12" spans="1:8" x14ac:dyDescent="0.3">
      <c r="B12" s="87" t="s">
        <v>142</v>
      </c>
      <c r="C12" s="87" t="s">
        <v>40</v>
      </c>
      <c r="D12" s="87">
        <v>0.10000000000000003</v>
      </c>
      <c r="E12" s="87">
        <v>0</v>
      </c>
      <c r="F12" s="87">
        <v>8.5000000000000075E-3</v>
      </c>
      <c r="G12" s="87">
        <v>7.0999999999999952E-3</v>
      </c>
      <c r="H12" s="87">
        <v>3.040000000000001E-2</v>
      </c>
    </row>
    <row r="13" spans="1:8" x14ac:dyDescent="0.3">
      <c r="B13" s="87" t="s">
        <v>143</v>
      </c>
      <c r="C13" s="87" t="s">
        <v>41</v>
      </c>
      <c r="D13" s="87">
        <v>0.4</v>
      </c>
      <c r="E13" s="87">
        <v>0</v>
      </c>
      <c r="F13" s="87">
        <v>5.5000000000000049E-3</v>
      </c>
      <c r="G13" s="87">
        <v>1.0099999999999998E-2</v>
      </c>
      <c r="H13" s="87">
        <v>3.600000000000006E-3</v>
      </c>
    </row>
    <row r="14" spans="1:8" x14ac:dyDescent="0.3">
      <c r="B14" s="87" t="s">
        <v>144</v>
      </c>
      <c r="C14" s="87" t="s">
        <v>42</v>
      </c>
      <c r="D14" s="87">
        <v>5.000000000000001E-2</v>
      </c>
      <c r="E14" s="87">
        <v>0</v>
      </c>
      <c r="F14" s="87">
        <v>-8.199999999999999E-3</v>
      </c>
      <c r="G14" s="87">
        <v>2.3800000000000002E-2</v>
      </c>
      <c r="H14" s="87">
        <v>1E+30</v>
      </c>
    </row>
    <row r="15" spans="1:8" x14ac:dyDescent="0.3">
      <c r="B15" s="87" t="s">
        <v>145</v>
      </c>
      <c r="C15" s="87" t="s">
        <v>43</v>
      </c>
      <c r="D15" s="87">
        <v>0.19999999999999996</v>
      </c>
      <c r="E15" s="87">
        <v>0</v>
      </c>
      <c r="F15" s="87">
        <v>1.5600000000000003E-2</v>
      </c>
      <c r="G15" s="87">
        <v>3.040000000000001E-2</v>
      </c>
      <c r="H15" s="87">
        <v>7.0999999999999952E-3</v>
      </c>
    </row>
    <row r="16" spans="1:8" ht="15" thickBot="1" x14ac:dyDescent="0.35">
      <c r="B16" s="88" t="s">
        <v>146</v>
      </c>
      <c r="C16" s="88" t="s">
        <v>44</v>
      </c>
      <c r="D16" s="88">
        <v>0.05</v>
      </c>
      <c r="E16" s="88">
        <v>0</v>
      </c>
      <c r="F16" s="88">
        <v>-6.1999999999999972E-3</v>
      </c>
      <c r="G16" s="88">
        <v>5.5300000000000002E-2</v>
      </c>
      <c r="H16" s="88">
        <v>1E+30</v>
      </c>
    </row>
    <row r="18" spans="1:8" ht="15" thickBot="1" x14ac:dyDescent="0.35">
      <c r="A18" t="s">
        <v>134</v>
      </c>
    </row>
    <row r="19" spans="1:8" x14ac:dyDescent="0.3">
      <c r="B19" s="37"/>
      <c r="C19" s="37"/>
      <c r="D19" s="37" t="s">
        <v>125</v>
      </c>
      <c r="E19" s="37" t="s">
        <v>135</v>
      </c>
      <c r="F19" s="37" t="s">
        <v>137</v>
      </c>
      <c r="G19" s="37" t="s">
        <v>131</v>
      </c>
      <c r="H19" s="37" t="s">
        <v>131</v>
      </c>
    </row>
    <row r="20" spans="1:8" ht="15" thickBot="1" x14ac:dyDescent="0.35">
      <c r="B20" s="38" t="s">
        <v>123</v>
      </c>
      <c r="C20" s="38" t="s">
        <v>124</v>
      </c>
      <c r="D20" s="38" t="s">
        <v>126</v>
      </c>
      <c r="E20" s="38" t="s">
        <v>136</v>
      </c>
      <c r="F20" s="38" t="s">
        <v>138</v>
      </c>
      <c r="G20" s="38" t="s">
        <v>132</v>
      </c>
      <c r="H20" s="38" t="s">
        <v>133</v>
      </c>
    </row>
    <row r="21" spans="1:8" x14ac:dyDescent="0.3">
      <c r="B21" s="87" t="s">
        <v>149</v>
      </c>
      <c r="C21" s="87" t="s">
        <v>178</v>
      </c>
      <c r="D21" s="87">
        <v>0.5</v>
      </c>
      <c r="E21" s="87">
        <v>-1.0099999999999998E-2</v>
      </c>
      <c r="F21" s="87">
        <v>0.5</v>
      </c>
      <c r="G21" s="87">
        <v>4.9999999999999961E-2</v>
      </c>
      <c r="H21" s="87">
        <v>0.30000000000000004</v>
      </c>
    </row>
    <row r="22" spans="1:8" x14ac:dyDescent="0.3">
      <c r="B22" s="87" t="s">
        <v>147</v>
      </c>
      <c r="C22" s="87" t="s">
        <v>148</v>
      </c>
      <c r="D22" s="87">
        <v>0.15</v>
      </c>
      <c r="E22" s="87">
        <v>3.3500000000000002E-2</v>
      </c>
      <c r="F22" s="87">
        <v>0.15</v>
      </c>
      <c r="G22" s="87">
        <v>4.9999999999999933E-2</v>
      </c>
      <c r="H22" s="87">
        <v>0</v>
      </c>
    </row>
    <row r="23" spans="1:8" x14ac:dyDescent="0.3">
      <c r="B23" s="87" t="s">
        <v>150</v>
      </c>
      <c r="C23" s="87" t="s">
        <v>151</v>
      </c>
      <c r="D23" s="87">
        <v>0.14999999999999997</v>
      </c>
      <c r="E23" s="87">
        <v>-3.600000000000006E-3</v>
      </c>
      <c r="F23" s="87">
        <v>0.15</v>
      </c>
      <c r="G23" s="87">
        <v>0.30000000000000004</v>
      </c>
      <c r="H23" s="87">
        <v>4.9999999999999933E-2</v>
      </c>
    </row>
    <row r="24" spans="1:8" x14ac:dyDescent="0.3">
      <c r="B24" s="87" t="s">
        <v>152</v>
      </c>
      <c r="C24" s="87" t="s">
        <v>153</v>
      </c>
      <c r="D24" s="87">
        <v>0.15000000000000002</v>
      </c>
      <c r="E24" s="87">
        <v>-7.0999999999999952E-3</v>
      </c>
      <c r="F24" s="87">
        <v>0.15</v>
      </c>
      <c r="G24" s="87">
        <v>4.9999999999999961E-2</v>
      </c>
      <c r="H24" s="87">
        <v>5.0000000000000031E-2</v>
      </c>
    </row>
    <row r="25" spans="1:8" x14ac:dyDescent="0.3">
      <c r="B25" s="87" t="s">
        <v>154</v>
      </c>
      <c r="C25" s="87" t="s">
        <v>155</v>
      </c>
      <c r="D25" s="87">
        <v>0.45</v>
      </c>
      <c r="E25" s="87">
        <v>0</v>
      </c>
      <c r="F25" s="87">
        <v>0.15</v>
      </c>
      <c r="G25" s="87">
        <v>0.30000000000000004</v>
      </c>
      <c r="H25" s="87">
        <v>1E+30</v>
      </c>
    </row>
    <row r="26" spans="1:8" x14ac:dyDescent="0.3">
      <c r="B26" s="87" t="s">
        <v>156</v>
      </c>
      <c r="C26" s="87" t="s">
        <v>157</v>
      </c>
      <c r="D26" s="87">
        <v>0.24999999999999994</v>
      </c>
      <c r="E26" s="87">
        <v>0</v>
      </c>
      <c r="F26" s="87">
        <v>0.2</v>
      </c>
      <c r="G26" s="87">
        <v>4.9999999999999961E-2</v>
      </c>
      <c r="H26" s="87">
        <v>1E+30</v>
      </c>
    </row>
    <row r="27" spans="1:8" x14ac:dyDescent="0.3">
      <c r="B27" s="87" t="s">
        <v>158</v>
      </c>
      <c r="C27" s="87" t="s">
        <v>179</v>
      </c>
      <c r="D27" s="87">
        <v>0.05</v>
      </c>
      <c r="E27" s="87">
        <v>0</v>
      </c>
      <c r="F27" s="87">
        <v>0.05</v>
      </c>
      <c r="G27" s="87">
        <v>-1.3877787807814457E-17</v>
      </c>
      <c r="H27" s="87">
        <v>1E+30</v>
      </c>
    </row>
    <row r="28" spans="1:8" x14ac:dyDescent="0.3">
      <c r="B28" s="87" t="s">
        <v>159</v>
      </c>
      <c r="C28" s="87" t="s">
        <v>180</v>
      </c>
      <c r="D28" s="87">
        <v>9.9999999999999978E-2</v>
      </c>
      <c r="E28" s="87">
        <v>0</v>
      </c>
      <c r="F28" s="87">
        <v>0.05</v>
      </c>
      <c r="G28" s="87">
        <v>4.9999999999999933E-2</v>
      </c>
      <c r="H28" s="87">
        <v>1E+30</v>
      </c>
    </row>
    <row r="29" spans="1:8" x14ac:dyDescent="0.3">
      <c r="B29" s="87" t="s">
        <v>160</v>
      </c>
      <c r="C29" s="87" t="s">
        <v>181</v>
      </c>
      <c r="D29" s="87">
        <v>4.9999999999999989E-2</v>
      </c>
      <c r="E29" s="87">
        <v>-3.040000000000001E-2</v>
      </c>
      <c r="F29" s="87">
        <v>0.05</v>
      </c>
      <c r="G29" s="87">
        <v>0</v>
      </c>
      <c r="H29" s="87">
        <v>4.9999999999999933E-2</v>
      </c>
    </row>
    <row r="30" spans="1:8" x14ac:dyDescent="0.3">
      <c r="B30" s="87" t="s">
        <v>182</v>
      </c>
      <c r="C30" s="87" t="s">
        <v>183</v>
      </c>
      <c r="D30" s="87">
        <v>0.10000000000000003</v>
      </c>
      <c r="E30" s="87">
        <v>0</v>
      </c>
      <c r="F30" s="87">
        <v>0.05</v>
      </c>
      <c r="G30" s="87">
        <v>5.0000000000000031E-2</v>
      </c>
      <c r="H30" s="87">
        <v>1E+30</v>
      </c>
    </row>
    <row r="31" spans="1:8" x14ac:dyDescent="0.3">
      <c r="B31" s="87" t="s">
        <v>184</v>
      </c>
      <c r="C31" s="87" t="s">
        <v>185</v>
      </c>
      <c r="D31" s="87">
        <v>0.4</v>
      </c>
      <c r="E31" s="87">
        <v>0</v>
      </c>
      <c r="F31" s="87">
        <v>0.05</v>
      </c>
      <c r="G31" s="87">
        <v>0.35000000000000003</v>
      </c>
      <c r="H31" s="87">
        <v>1E+30</v>
      </c>
    </row>
    <row r="32" spans="1:8" x14ac:dyDescent="0.3">
      <c r="B32" s="87" t="s">
        <v>186</v>
      </c>
      <c r="C32" s="87" t="s">
        <v>187</v>
      </c>
      <c r="D32" s="87">
        <v>5.000000000000001E-2</v>
      </c>
      <c r="E32" s="87">
        <v>-2.3800000000000002E-2</v>
      </c>
      <c r="F32" s="87">
        <v>0.05</v>
      </c>
      <c r="G32" s="87">
        <v>4.9999999999999961E-2</v>
      </c>
      <c r="H32" s="87">
        <v>5.000000000000001E-2</v>
      </c>
    </row>
    <row r="33" spans="2:8" x14ac:dyDescent="0.3">
      <c r="B33" s="87" t="s">
        <v>188</v>
      </c>
      <c r="C33" s="87" t="s">
        <v>189</v>
      </c>
      <c r="D33" s="87">
        <v>0.19999999999999996</v>
      </c>
      <c r="E33" s="87">
        <v>0</v>
      </c>
      <c r="F33" s="87">
        <v>0.05</v>
      </c>
      <c r="G33" s="87">
        <v>0.14999999999999997</v>
      </c>
      <c r="H33" s="87">
        <v>1E+30</v>
      </c>
    </row>
    <row r="34" spans="2:8" x14ac:dyDescent="0.3">
      <c r="B34" s="87" t="s">
        <v>190</v>
      </c>
      <c r="C34" s="87" t="s">
        <v>191</v>
      </c>
      <c r="D34" s="87">
        <v>0.05</v>
      </c>
      <c r="E34" s="87">
        <v>-5.5300000000000002E-2</v>
      </c>
      <c r="F34" s="87">
        <v>0.05</v>
      </c>
      <c r="G34" s="87">
        <v>0</v>
      </c>
      <c r="H34" s="87">
        <v>4.9999999999999933E-2</v>
      </c>
    </row>
    <row r="35" spans="2:8" x14ac:dyDescent="0.3">
      <c r="B35" s="87" t="s">
        <v>192</v>
      </c>
      <c r="C35" s="87" t="s">
        <v>193</v>
      </c>
      <c r="D35" s="87">
        <v>0.35</v>
      </c>
      <c r="E35" s="87">
        <v>0</v>
      </c>
      <c r="F35" s="87">
        <v>0.25</v>
      </c>
      <c r="G35" s="87">
        <v>9.9999999999999964E-2</v>
      </c>
      <c r="H35" s="87">
        <v>1E+30</v>
      </c>
    </row>
    <row r="36" spans="2:8" ht="15" thickBot="1" x14ac:dyDescent="0.35">
      <c r="B36" s="88" t="s">
        <v>194</v>
      </c>
      <c r="C36" s="88" t="s">
        <v>161</v>
      </c>
      <c r="D36" s="88">
        <v>1</v>
      </c>
      <c r="E36" s="88">
        <v>1.5600000000000003E-2</v>
      </c>
      <c r="F36" s="88">
        <v>1</v>
      </c>
      <c r="G36" s="88">
        <v>1E+30</v>
      </c>
      <c r="H36" s="88">
        <v>4.9999999999999961E-2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4743-CABC-435C-B733-53ED41F24371}">
  <sheetPr>
    <tabColor rgb="FF7030A0"/>
  </sheetPr>
  <dimension ref="A2:Z29"/>
  <sheetViews>
    <sheetView zoomScaleNormal="100" workbookViewId="0">
      <selection activeCell="L7" sqref="L7"/>
    </sheetView>
  </sheetViews>
  <sheetFormatPr defaultRowHeight="14.4" x14ac:dyDescent="0.3"/>
  <cols>
    <col min="1" max="1" width="3.109375" customWidth="1"/>
    <col min="2" max="2" width="3.77734375" customWidth="1"/>
    <col min="3" max="3" width="39.88671875" customWidth="1"/>
    <col min="13" max="13" width="10.109375" customWidth="1"/>
  </cols>
  <sheetData>
    <row r="2" spans="3:12" ht="18" x14ac:dyDescent="0.35">
      <c r="C2" s="239" t="s">
        <v>59</v>
      </c>
    </row>
    <row r="4" spans="3:12" ht="15" thickBot="1" x14ac:dyDescent="0.35">
      <c r="C4" t="s">
        <v>16</v>
      </c>
      <c r="D4" s="255"/>
      <c r="E4" s="255"/>
      <c r="F4" s="255"/>
      <c r="G4" s="255"/>
      <c r="H4" s="255"/>
      <c r="I4" s="255"/>
      <c r="J4" s="255"/>
      <c r="K4" s="255"/>
      <c r="L4" s="57"/>
    </row>
    <row r="5" spans="3:12" ht="15" thickBot="1" x14ac:dyDescent="0.35">
      <c r="C5" s="258" t="s">
        <v>217</v>
      </c>
      <c r="D5" s="259" t="s">
        <v>13</v>
      </c>
      <c r="E5" s="260" t="s">
        <v>11</v>
      </c>
      <c r="F5" s="259" t="s">
        <v>13</v>
      </c>
      <c r="G5" s="260" t="s">
        <v>12</v>
      </c>
      <c r="H5" s="259" t="s">
        <v>11</v>
      </c>
      <c r="I5" s="260" t="s">
        <v>12</v>
      </c>
      <c r="J5" s="259" t="s">
        <v>12</v>
      </c>
      <c r="K5" s="261" t="s">
        <v>13</v>
      </c>
      <c r="L5" s="57"/>
    </row>
    <row r="6" spans="3:12" ht="15" thickBot="1" x14ac:dyDescent="0.35">
      <c r="C6" s="262" t="s">
        <v>53</v>
      </c>
      <c r="D6" s="263" t="s">
        <v>37</v>
      </c>
      <c r="E6" s="264" t="s">
        <v>38</v>
      </c>
      <c r="F6" s="263" t="s">
        <v>39</v>
      </c>
      <c r="G6" s="264" t="s">
        <v>40</v>
      </c>
      <c r="H6" s="263" t="s">
        <v>41</v>
      </c>
      <c r="I6" s="264" t="s">
        <v>42</v>
      </c>
      <c r="J6" s="263" t="s">
        <v>43</v>
      </c>
      <c r="K6" s="265" t="s">
        <v>44</v>
      </c>
      <c r="L6" s="57"/>
    </row>
    <row r="7" spans="3:12" ht="15" thickBot="1" x14ac:dyDescent="0.35">
      <c r="C7" s="266" t="s">
        <v>220</v>
      </c>
      <c r="D7" s="267">
        <v>1</v>
      </c>
      <c r="E7" s="268">
        <v>1</v>
      </c>
      <c r="F7" s="267">
        <v>0</v>
      </c>
      <c r="G7" s="268">
        <v>1</v>
      </c>
      <c r="H7" s="267">
        <v>1</v>
      </c>
      <c r="I7" s="268">
        <v>0</v>
      </c>
      <c r="J7" s="269">
        <v>1</v>
      </c>
      <c r="K7" s="270">
        <v>0</v>
      </c>
      <c r="L7" s="57"/>
    </row>
    <row r="8" spans="3:12" hidden="1" x14ac:dyDescent="0.3">
      <c r="C8" s="255"/>
      <c r="D8" s="257"/>
      <c r="E8" s="257"/>
      <c r="F8" s="257"/>
      <c r="G8" s="257"/>
      <c r="H8" s="257"/>
      <c r="I8" s="257"/>
      <c r="J8" s="257"/>
      <c r="K8" s="257"/>
      <c r="L8" s="57"/>
    </row>
    <row r="9" spans="3:12" x14ac:dyDescent="0.3">
      <c r="C9" s="255"/>
      <c r="D9" s="257"/>
      <c r="E9" s="257"/>
      <c r="F9" s="257"/>
      <c r="G9" s="257"/>
      <c r="H9" s="257"/>
      <c r="I9" s="257"/>
      <c r="J9" s="257"/>
      <c r="K9" s="257"/>
      <c r="L9" s="57"/>
    </row>
    <row r="10" spans="3:12" ht="15" thickBot="1" x14ac:dyDescent="0.35">
      <c r="C10" t="s">
        <v>17</v>
      </c>
      <c r="L10" s="56"/>
    </row>
    <row r="11" spans="3:12" ht="15" thickBot="1" x14ac:dyDescent="0.35">
      <c r="C11" s="258" t="s">
        <v>217</v>
      </c>
      <c r="D11" s="259" t="s">
        <v>13</v>
      </c>
      <c r="E11" s="260" t="s">
        <v>11</v>
      </c>
      <c r="F11" s="259" t="s">
        <v>13</v>
      </c>
      <c r="G11" s="260" t="s">
        <v>12</v>
      </c>
      <c r="H11" s="259" t="s">
        <v>11</v>
      </c>
      <c r="I11" s="260" t="s">
        <v>12</v>
      </c>
      <c r="J11" s="259" t="s">
        <v>12</v>
      </c>
      <c r="K11" s="261" t="s">
        <v>13</v>
      </c>
    </row>
    <row r="12" spans="3:12" ht="15" thickBot="1" x14ac:dyDescent="0.35">
      <c r="C12" s="262" t="s">
        <v>53</v>
      </c>
      <c r="D12" s="263" t="s">
        <v>37</v>
      </c>
      <c r="E12" s="264" t="s">
        <v>38</v>
      </c>
      <c r="F12" s="263" t="s">
        <v>39</v>
      </c>
      <c r="G12" s="264" t="s">
        <v>40</v>
      </c>
      <c r="H12" s="263" t="s">
        <v>41</v>
      </c>
      <c r="I12" s="264" t="s">
        <v>42</v>
      </c>
      <c r="J12" s="263" t="s">
        <v>43</v>
      </c>
      <c r="K12" s="265" t="s">
        <v>44</v>
      </c>
    </row>
    <row r="13" spans="3:12" ht="15" thickBot="1" x14ac:dyDescent="0.35">
      <c r="C13" s="256" t="s">
        <v>218</v>
      </c>
      <c r="D13" s="271">
        <v>4.5499999999999999E-2</v>
      </c>
      <c r="E13" s="272">
        <v>1.9E-3</v>
      </c>
      <c r="F13" s="271">
        <v>1.1599999999999999E-2</v>
      </c>
      <c r="G13" s="272">
        <v>8.5000000000000006E-3</v>
      </c>
      <c r="H13" s="271">
        <v>5.4999999999999997E-3</v>
      </c>
      <c r="I13" s="272">
        <v>-8.2000000000000007E-3</v>
      </c>
      <c r="J13" s="271">
        <v>1.5599999999999999E-2</v>
      </c>
      <c r="K13" s="273">
        <v>-6.1999999999999998E-3</v>
      </c>
    </row>
    <row r="14" spans="3:12" ht="15" thickBot="1" x14ac:dyDescent="0.35">
      <c r="C14" s="1"/>
    </row>
    <row r="15" spans="3:12" ht="15" thickBot="1" x14ac:dyDescent="0.35">
      <c r="C15" s="58" t="s">
        <v>219</v>
      </c>
      <c r="D15" s="238">
        <f>SUMPRODUCT(D7:K7,D13:K13)</f>
        <v>7.6999999999999999E-2</v>
      </c>
    </row>
    <row r="16" spans="3:12" x14ac:dyDescent="0.3">
      <c r="C16" s="1"/>
      <c r="D16" s="1"/>
    </row>
    <row r="17" spans="1:26" ht="15" thickBot="1" x14ac:dyDescent="0.35">
      <c r="C17" s="1"/>
    </row>
    <row r="18" spans="1:26" ht="15" thickBot="1" x14ac:dyDescent="0.35">
      <c r="C18" s="302" t="s">
        <v>18</v>
      </c>
      <c r="D18" s="39" t="s">
        <v>13</v>
      </c>
      <c r="E18" s="44" t="s">
        <v>11</v>
      </c>
      <c r="F18" s="45" t="s">
        <v>13</v>
      </c>
      <c r="G18" s="44" t="s">
        <v>12</v>
      </c>
      <c r="H18" s="45" t="s">
        <v>11</v>
      </c>
      <c r="I18" s="44" t="s">
        <v>12</v>
      </c>
      <c r="J18" s="45" t="s">
        <v>12</v>
      </c>
      <c r="K18" s="44" t="s">
        <v>13</v>
      </c>
      <c r="L18" s="305" t="s">
        <v>113</v>
      </c>
      <c r="M18" s="60" t="s">
        <v>1</v>
      </c>
      <c r="N18" s="299" t="s">
        <v>114</v>
      </c>
      <c r="O18" s="61"/>
    </row>
    <row r="19" spans="1:26" ht="15" thickBot="1" x14ac:dyDescent="0.35">
      <c r="C19" s="303"/>
      <c r="D19" s="51" t="s">
        <v>37</v>
      </c>
      <c r="E19" s="52" t="s">
        <v>38</v>
      </c>
      <c r="F19" s="53" t="s">
        <v>39</v>
      </c>
      <c r="G19" s="52" t="s">
        <v>40</v>
      </c>
      <c r="H19" s="53" t="s">
        <v>41</v>
      </c>
      <c r="I19" s="52" t="s">
        <v>42</v>
      </c>
      <c r="J19" s="53" t="s">
        <v>43</v>
      </c>
      <c r="K19" s="52" t="s">
        <v>44</v>
      </c>
      <c r="L19" s="306"/>
      <c r="M19" s="299" t="s">
        <v>19</v>
      </c>
      <c r="N19" s="300"/>
      <c r="O19" s="61"/>
    </row>
    <row r="20" spans="1:26" ht="15" thickBot="1" x14ac:dyDescent="0.35">
      <c r="C20" s="304"/>
      <c r="D20" s="54" t="s">
        <v>207</v>
      </c>
      <c r="E20" s="49" t="s">
        <v>208</v>
      </c>
      <c r="F20" s="50" t="s">
        <v>209</v>
      </c>
      <c r="G20" s="49" t="s">
        <v>210</v>
      </c>
      <c r="H20" s="50" t="s">
        <v>211</v>
      </c>
      <c r="I20" s="49" t="s">
        <v>212</v>
      </c>
      <c r="J20" s="50" t="s">
        <v>213</v>
      </c>
      <c r="K20" s="49" t="s">
        <v>214</v>
      </c>
      <c r="L20" s="307"/>
      <c r="M20" s="301"/>
      <c r="N20" s="301"/>
      <c r="O20" s="61"/>
    </row>
    <row r="21" spans="1:26" ht="24" customHeight="1" x14ac:dyDescent="0.3">
      <c r="A21" s="1"/>
      <c r="B21" s="1" t="s">
        <v>163</v>
      </c>
      <c r="C21" s="64" t="s">
        <v>223</v>
      </c>
      <c r="D21" s="65">
        <v>1</v>
      </c>
      <c r="E21" s="66">
        <v>1</v>
      </c>
      <c r="F21" s="65">
        <v>1</v>
      </c>
      <c r="G21" s="66">
        <v>1</v>
      </c>
      <c r="H21" s="65">
        <v>1</v>
      </c>
      <c r="I21" s="66">
        <v>1</v>
      </c>
      <c r="J21" s="67">
        <v>1</v>
      </c>
      <c r="K21" s="66">
        <v>1</v>
      </c>
      <c r="L21" s="174">
        <f>SUMPRODUCT(D21:K21,$D7:$K7)</f>
        <v>5</v>
      </c>
      <c r="M21" s="55" t="s">
        <v>205</v>
      </c>
      <c r="N21" s="68">
        <v>5</v>
      </c>
      <c r="O21" s="61"/>
    </row>
    <row r="22" spans="1:26" ht="20.399999999999999" customHeight="1" x14ac:dyDescent="0.3">
      <c r="A22" s="1" t="s">
        <v>164</v>
      </c>
      <c r="B22" s="1" t="s">
        <v>162</v>
      </c>
      <c r="C22" s="69" t="s">
        <v>198</v>
      </c>
      <c r="D22" s="70">
        <v>1</v>
      </c>
      <c r="E22" s="71">
        <v>1</v>
      </c>
      <c r="F22" s="70">
        <v>0</v>
      </c>
      <c r="G22" s="71">
        <v>0</v>
      </c>
      <c r="H22" s="70">
        <v>0</v>
      </c>
      <c r="I22" s="71">
        <v>0</v>
      </c>
      <c r="J22" s="72">
        <v>0</v>
      </c>
      <c r="K22" s="71">
        <v>0</v>
      </c>
      <c r="L22" s="174">
        <f>SUMPRODUCT(D22:K22,$D7:$K7)</f>
        <v>2</v>
      </c>
      <c r="M22" s="73" t="s">
        <v>206</v>
      </c>
      <c r="N22" s="74">
        <v>1</v>
      </c>
    </row>
    <row r="23" spans="1:26" ht="19.8" customHeight="1" x14ac:dyDescent="0.3">
      <c r="A23" s="1"/>
      <c r="B23" s="1" t="s">
        <v>195</v>
      </c>
      <c r="C23" s="69" t="s">
        <v>199</v>
      </c>
      <c r="D23" s="70">
        <v>0</v>
      </c>
      <c r="E23" s="71">
        <v>0</v>
      </c>
      <c r="F23" s="70">
        <v>1</v>
      </c>
      <c r="G23" s="71">
        <v>1</v>
      </c>
      <c r="H23" s="70">
        <v>0</v>
      </c>
      <c r="I23" s="71">
        <v>0</v>
      </c>
      <c r="J23" s="72">
        <v>0</v>
      </c>
      <c r="K23" s="71">
        <v>0</v>
      </c>
      <c r="L23" s="174">
        <f>SUMPRODUCT(D23:K23,$D7:$K7)</f>
        <v>1</v>
      </c>
      <c r="M23" s="73" t="s">
        <v>206</v>
      </c>
      <c r="N23" s="74">
        <v>1</v>
      </c>
    </row>
    <row r="24" spans="1:26" ht="21" customHeight="1" x14ac:dyDescent="0.3">
      <c r="A24" s="1"/>
      <c r="B24" s="1" t="s">
        <v>196</v>
      </c>
      <c r="C24" s="69" t="s">
        <v>200</v>
      </c>
      <c r="D24" s="75">
        <v>0</v>
      </c>
      <c r="E24" s="76">
        <v>0</v>
      </c>
      <c r="F24" s="75">
        <v>0</v>
      </c>
      <c r="G24" s="76">
        <v>0</v>
      </c>
      <c r="H24" s="75">
        <v>1</v>
      </c>
      <c r="I24" s="76">
        <v>1</v>
      </c>
      <c r="J24" s="77">
        <v>0</v>
      </c>
      <c r="K24" s="76">
        <v>0</v>
      </c>
      <c r="L24" s="174">
        <f>SUMPRODUCT(D24:K24,$D7:$K7)</f>
        <v>1</v>
      </c>
      <c r="M24" s="73" t="s">
        <v>206</v>
      </c>
      <c r="N24" s="78">
        <v>1</v>
      </c>
    </row>
    <row r="25" spans="1:26" ht="20.399999999999999" customHeight="1" x14ac:dyDescent="0.3">
      <c r="A25" s="1"/>
      <c r="B25" s="1" t="s">
        <v>197</v>
      </c>
      <c r="C25" s="69" t="s">
        <v>201</v>
      </c>
      <c r="D25" s="75">
        <v>0</v>
      </c>
      <c r="E25" s="76">
        <v>0</v>
      </c>
      <c r="F25" s="75">
        <v>0</v>
      </c>
      <c r="G25" s="76">
        <v>0</v>
      </c>
      <c r="H25" s="75">
        <v>0</v>
      </c>
      <c r="I25" s="76">
        <v>0</v>
      </c>
      <c r="J25" s="77">
        <v>1</v>
      </c>
      <c r="K25" s="76">
        <v>1</v>
      </c>
      <c r="L25" s="174">
        <f>SUMPRODUCT(D25:K25,$D7:$K7)</f>
        <v>1</v>
      </c>
      <c r="M25" s="73" t="s">
        <v>206</v>
      </c>
      <c r="N25" s="78">
        <v>1</v>
      </c>
    </row>
    <row r="26" spans="1:26" ht="19.2" customHeight="1" x14ac:dyDescent="0.3">
      <c r="A26" s="1"/>
      <c r="B26" s="1" t="s">
        <v>165</v>
      </c>
      <c r="C26" s="69" t="s">
        <v>224</v>
      </c>
      <c r="D26" s="75">
        <v>1</v>
      </c>
      <c r="E26" s="76">
        <v>0</v>
      </c>
      <c r="F26" s="75">
        <v>1</v>
      </c>
      <c r="G26" s="76">
        <v>0</v>
      </c>
      <c r="H26" s="75">
        <v>0</v>
      </c>
      <c r="I26" s="76">
        <v>0</v>
      </c>
      <c r="J26" s="77">
        <v>0</v>
      </c>
      <c r="K26" s="76">
        <v>1</v>
      </c>
      <c r="L26" s="174">
        <f>SUMPRODUCT(D26:K26,$D7:$K7)</f>
        <v>1</v>
      </c>
      <c r="M26" s="73" t="s">
        <v>111</v>
      </c>
      <c r="N26" s="78">
        <v>1</v>
      </c>
    </row>
    <row r="27" spans="1:26" ht="21" customHeight="1" x14ac:dyDescent="0.3">
      <c r="A27" s="1"/>
      <c r="B27" s="1" t="s">
        <v>166</v>
      </c>
      <c r="C27" s="69" t="s">
        <v>225</v>
      </c>
      <c r="D27" s="75">
        <v>0</v>
      </c>
      <c r="E27" s="76">
        <v>1</v>
      </c>
      <c r="F27" s="75">
        <v>0</v>
      </c>
      <c r="G27" s="76">
        <v>0</v>
      </c>
      <c r="H27" s="75">
        <v>1</v>
      </c>
      <c r="I27" s="76">
        <v>0</v>
      </c>
      <c r="J27" s="77">
        <v>0</v>
      </c>
      <c r="K27" s="76">
        <v>0</v>
      </c>
      <c r="L27" s="174">
        <f>SUMPRODUCT(D27:K27,$D7:$K7)</f>
        <v>2</v>
      </c>
      <c r="M27" s="73" t="s">
        <v>206</v>
      </c>
      <c r="N27" s="78">
        <v>2</v>
      </c>
    </row>
    <row r="28" spans="1:26" ht="27" customHeight="1" x14ac:dyDescent="0.3">
      <c r="A28" s="1"/>
      <c r="B28" s="1" t="s">
        <v>202</v>
      </c>
      <c r="C28" s="79" t="s">
        <v>222</v>
      </c>
      <c r="D28" s="75">
        <v>1</v>
      </c>
      <c r="E28" s="76">
        <v>0</v>
      </c>
      <c r="F28" s="75">
        <v>1</v>
      </c>
      <c r="G28" s="76">
        <v>-1</v>
      </c>
      <c r="H28" s="75">
        <v>0</v>
      </c>
      <c r="I28" s="76">
        <v>-1</v>
      </c>
      <c r="J28" s="77">
        <v>-1</v>
      </c>
      <c r="K28" s="76">
        <v>1</v>
      </c>
      <c r="L28" s="174">
        <f>SUMPRODUCT(D28:K28,$D7:$K7)</f>
        <v>-1</v>
      </c>
      <c r="M28" s="73" t="s">
        <v>111</v>
      </c>
      <c r="N28" s="78">
        <v>0</v>
      </c>
    </row>
    <row r="29" spans="1:26" ht="20.399999999999999" customHeight="1" thickBot="1" x14ac:dyDescent="0.35">
      <c r="A29" s="1"/>
      <c r="B29" s="1" t="s">
        <v>203</v>
      </c>
      <c r="C29" s="81" t="s">
        <v>204</v>
      </c>
      <c r="D29" s="82">
        <v>0</v>
      </c>
      <c r="E29" s="80">
        <v>0</v>
      </c>
      <c r="F29" s="82">
        <v>0</v>
      </c>
      <c r="G29" s="80">
        <v>1</v>
      </c>
      <c r="H29" s="82">
        <v>0</v>
      </c>
      <c r="I29" s="80">
        <v>1</v>
      </c>
      <c r="J29" s="83">
        <v>1</v>
      </c>
      <c r="K29" s="84">
        <v>0</v>
      </c>
      <c r="L29" s="174">
        <f>SUMPRODUCT(D29:K29,$D7:$K7)</f>
        <v>2</v>
      </c>
      <c r="M29" s="85" t="s">
        <v>206</v>
      </c>
      <c r="N29" s="86">
        <v>1</v>
      </c>
      <c r="Z29" t="s">
        <v>250</v>
      </c>
    </row>
  </sheetData>
  <mergeCells count="4">
    <mergeCell ref="C18:C20"/>
    <mergeCell ref="M19:M20"/>
    <mergeCell ref="L18:L20"/>
    <mergeCell ref="N18:N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E405-A9DD-4E8E-B756-B22C1F31BD3F}">
  <dimension ref="C2:K28"/>
  <sheetViews>
    <sheetView topLeftCell="A9" workbookViewId="0">
      <selection activeCell="N25" sqref="N25"/>
    </sheetView>
  </sheetViews>
  <sheetFormatPr defaultRowHeight="14.4" x14ac:dyDescent="0.3"/>
  <cols>
    <col min="3" max="3" width="13.5546875" customWidth="1"/>
    <col min="4" max="4" width="33.109375" customWidth="1"/>
    <col min="5" max="5" width="12.44140625" customWidth="1"/>
    <col min="6" max="6" width="16.88671875" customWidth="1"/>
    <col min="7" max="8" width="12.44140625" customWidth="1"/>
    <col min="9" max="9" width="21.88671875" customWidth="1"/>
    <col min="10" max="10" width="13.77734375" customWidth="1"/>
    <col min="11" max="11" width="12.44140625" customWidth="1"/>
  </cols>
  <sheetData>
    <row r="2" spans="3:10" ht="21.6" thickBot="1" x14ac:dyDescent="0.45">
      <c r="D2" s="14" t="s">
        <v>78</v>
      </c>
    </row>
    <row r="3" spans="3:10" ht="57" customHeight="1" thickBot="1" x14ac:dyDescent="0.35">
      <c r="C3" s="274" t="s">
        <v>1</v>
      </c>
      <c r="D3" s="275" t="s">
        <v>2</v>
      </c>
      <c r="E3" s="210" t="s">
        <v>228</v>
      </c>
      <c r="F3" s="209" t="s">
        <v>227</v>
      </c>
      <c r="G3" s="232" t="s">
        <v>229</v>
      </c>
      <c r="H3" s="213" t="s">
        <v>226</v>
      </c>
      <c r="I3" s="212" t="s">
        <v>30</v>
      </c>
      <c r="J3" s="213" t="s">
        <v>230</v>
      </c>
    </row>
    <row r="4" spans="3:10" ht="15.6" x14ac:dyDescent="0.3">
      <c r="C4" s="218" t="s">
        <v>70</v>
      </c>
      <c r="D4" s="221" t="s">
        <v>71</v>
      </c>
      <c r="E4" s="312" t="s">
        <v>45</v>
      </c>
      <c r="F4" s="226" t="s">
        <v>37</v>
      </c>
      <c r="G4" s="207">
        <f ca="1">'1.b Sample  (Return and Risk)'!C56</f>
        <v>4.5530185933715182E-2</v>
      </c>
      <c r="H4" s="206">
        <f ca="1">'1.b Sample  (Return and Risk)'!C57</f>
        <v>0.10936385592244387</v>
      </c>
      <c r="I4" s="233" t="s">
        <v>13</v>
      </c>
      <c r="J4" s="248">
        <f>'2.a. LP Modelling '!D7</f>
        <v>0.05</v>
      </c>
    </row>
    <row r="5" spans="3:10" ht="15.6" x14ac:dyDescent="0.3">
      <c r="C5" s="214" t="s">
        <v>101</v>
      </c>
      <c r="D5" s="222" t="s">
        <v>104</v>
      </c>
      <c r="E5" s="313"/>
      <c r="F5" s="227" t="s">
        <v>38</v>
      </c>
      <c r="G5" s="198">
        <f ca="1">'1.b Sample  (Return and Risk)'!D56</f>
        <v>1.8673008252727248E-3</v>
      </c>
      <c r="H5" s="196">
        <f ca="1">'1.b Sample  (Return and Risk)'!D57</f>
        <v>4.9762203934419269E-2</v>
      </c>
      <c r="I5" s="234" t="s">
        <v>11</v>
      </c>
      <c r="J5" s="249">
        <f>'2.a. LP Modelling '!E7</f>
        <v>9.9999999999999978E-2</v>
      </c>
    </row>
    <row r="6" spans="3:10" ht="15.6" x14ac:dyDescent="0.3">
      <c r="C6" s="219" t="s">
        <v>72</v>
      </c>
      <c r="D6" s="223" t="s">
        <v>73</v>
      </c>
      <c r="E6" s="314" t="s">
        <v>46</v>
      </c>
      <c r="F6" s="228" t="s">
        <v>39</v>
      </c>
      <c r="G6" s="198">
        <f ca="1">'1.b Sample  (Return and Risk)'!E56</f>
        <v>1.1564818027837785E-2</v>
      </c>
      <c r="H6" s="196">
        <f ca="1">'1.b Sample  (Return and Risk)'!E57</f>
        <v>9.4151228850625754E-2</v>
      </c>
      <c r="I6" s="234" t="s">
        <v>13</v>
      </c>
      <c r="J6" s="249">
        <f>'2.a. LP Modelling '!F7</f>
        <v>4.9999999999999989E-2</v>
      </c>
    </row>
    <row r="7" spans="3:10" ht="15.6" x14ac:dyDescent="0.3">
      <c r="C7" s="215" t="s">
        <v>95</v>
      </c>
      <c r="D7" s="222" t="s">
        <v>82</v>
      </c>
      <c r="E7" s="314"/>
      <c r="F7" s="228" t="s">
        <v>40</v>
      </c>
      <c r="G7" s="198">
        <f ca="1">'1.b Sample  (Return and Risk)'!F56</f>
        <v>8.4991829259354855E-3</v>
      </c>
      <c r="H7" s="196">
        <f ca="1">'1.b Sample  (Return and Risk)'!F57</f>
        <v>8.3522880627140153E-2</v>
      </c>
      <c r="I7" s="234" t="s">
        <v>12</v>
      </c>
      <c r="J7" s="249">
        <f>'2.a. LP Modelling '!G7</f>
        <v>0.10000000000000003</v>
      </c>
    </row>
    <row r="8" spans="3:10" ht="15.6" x14ac:dyDescent="0.3">
      <c r="C8" s="220" t="s">
        <v>74</v>
      </c>
      <c r="D8" s="224" t="s">
        <v>75</v>
      </c>
      <c r="E8" s="315" t="s">
        <v>47</v>
      </c>
      <c r="F8" s="229" t="s">
        <v>41</v>
      </c>
      <c r="G8" s="198">
        <f ca="1">'1.b Sample  (Return and Risk)'!G56</f>
        <v>5.5431375324955538E-3</v>
      </c>
      <c r="H8" s="196">
        <f ca="1">'1.b Sample  (Return and Risk)'!G57</f>
        <v>3.5698466399920525E-2</v>
      </c>
      <c r="I8" s="234" t="s">
        <v>11</v>
      </c>
      <c r="J8" s="249">
        <f>'2.a. LP Modelling '!H7</f>
        <v>0.4</v>
      </c>
    </row>
    <row r="9" spans="3:10" ht="15.6" x14ac:dyDescent="0.3">
      <c r="C9" s="214" t="s">
        <v>93</v>
      </c>
      <c r="D9" s="222" t="s">
        <v>84</v>
      </c>
      <c r="E9" s="315"/>
      <c r="F9" s="229" t="s">
        <v>42</v>
      </c>
      <c r="G9" s="198">
        <f ca="1">'1.b Sample  (Return and Risk)'!H56</f>
        <v>-8.2112646701124111E-3</v>
      </c>
      <c r="H9" s="196">
        <f ca="1">'1.b Sample  (Return and Risk)'!H57</f>
        <v>7.254003966278906E-2</v>
      </c>
      <c r="I9" s="234" t="s">
        <v>12</v>
      </c>
      <c r="J9" s="249">
        <f>'2.a. LP Modelling '!I7</f>
        <v>5.000000000000001E-2</v>
      </c>
    </row>
    <row r="10" spans="3:10" ht="15.6" x14ac:dyDescent="0.3">
      <c r="C10" s="216" t="s">
        <v>63</v>
      </c>
      <c r="D10" s="223" t="s">
        <v>76</v>
      </c>
      <c r="E10" s="316" t="s">
        <v>48</v>
      </c>
      <c r="F10" s="230" t="s">
        <v>43</v>
      </c>
      <c r="G10" s="198">
        <f ca="1">'1.b Sample  (Return and Risk)'!I56</f>
        <v>1.563254330015652E-2</v>
      </c>
      <c r="H10" s="196">
        <f ca="1">'1.b Sample  (Return and Risk)'!I57</f>
        <v>6.2967475865032346E-2</v>
      </c>
      <c r="I10" s="234" t="s">
        <v>12</v>
      </c>
      <c r="J10" s="249">
        <f>'2.a. LP Modelling '!J7</f>
        <v>0.19999999999999996</v>
      </c>
    </row>
    <row r="11" spans="3:10" ht="16.2" thickBot="1" x14ac:dyDescent="0.35">
      <c r="C11" s="217" t="s">
        <v>94</v>
      </c>
      <c r="D11" s="225" t="s">
        <v>105</v>
      </c>
      <c r="E11" s="317"/>
      <c r="F11" s="231" t="s">
        <v>44</v>
      </c>
      <c r="G11" s="199">
        <f ca="1">'1.b Sample  (Return and Risk)'!J56</f>
        <v>-6.2336917618514712E-3</v>
      </c>
      <c r="H11" s="197">
        <f ca="1">'1.b Sample  (Return and Risk)'!J57</f>
        <v>9.3580805448198467E-2</v>
      </c>
      <c r="I11" s="235" t="s">
        <v>13</v>
      </c>
      <c r="J11" s="250">
        <f>'2.a. LP Modelling '!K7</f>
        <v>0.05</v>
      </c>
    </row>
    <row r="13" spans="3:10" ht="18" customHeight="1" x14ac:dyDescent="0.3">
      <c r="D13" s="236" t="s">
        <v>232</v>
      </c>
      <c r="E13" s="251">
        <f>'2.a. LP Modelling '!D15</f>
        <v>8.4950000000000008E-3</v>
      </c>
    </row>
    <row r="17" spans="3:11" ht="21.6" thickBot="1" x14ac:dyDescent="0.45">
      <c r="D17" s="14" t="s">
        <v>79</v>
      </c>
    </row>
    <row r="18" spans="3:11" ht="50.4" customHeight="1" thickBot="1" x14ac:dyDescent="0.35">
      <c r="C18" s="275" t="s">
        <v>1</v>
      </c>
      <c r="D18" s="276" t="s">
        <v>2</v>
      </c>
      <c r="E18" s="209" t="s">
        <v>228</v>
      </c>
      <c r="F18" s="210" t="s">
        <v>227</v>
      </c>
      <c r="G18" s="211" t="s">
        <v>4</v>
      </c>
      <c r="H18" s="212" t="s">
        <v>226</v>
      </c>
      <c r="I18" s="213" t="s">
        <v>30</v>
      </c>
      <c r="J18" s="200" t="s">
        <v>231</v>
      </c>
    </row>
    <row r="19" spans="3:11" ht="15.6" x14ac:dyDescent="0.3">
      <c r="C19" s="203" t="s">
        <v>70</v>
      </c>
      <c r="D19" s="204" t="s">
        <v>71</v>
      </c>
      <c r="E19" s="318" t="s">
        <v>45</v>
      </c>
      <c r="F19" s="205" t="s">
        <v>37</v>
      </c>
      <c r="G19" s="206">
        <v>4.5530185933715182E-2</v>
      </c>
      <c r="H19" s="207">
        <v>0.10936385592244387</v>
      </c>
      <c r="I19" s="208" t="s">
        <v>13</v>
      </c>
      <c r="J19" s="245">
        <f>'3.a ILP modelling'!D7</f>
        <v>1</v>
      </c>
      <c r="K19" t="s">
        <v>233</v>
      </c>
    </row>
    <row r="20" spans="3:11" ht="15.6" x14ac:dyDescent="0.3">
      <c r="C20" s="183" t="s">
        <v>101</v>
      </c>
      <c r="D20" s="156" t="s">
        <v>104</v>
      </c>
      <c r="E20" s="319"/>
      <c r="F20" s="191" t="s">
        <v>38</v>
      </c>
      <c r="G20" s="196">
        <v>1.8673008252727248E-3</v>
      </c>
      <c r="H20" s="198">
        <v>4.9762203934419269E-2</v>
      </c>
      <c r="I20" s="201" t="s">
        <v>11</v>
      </c>
      <c r="J20" s="246">
        <f>'3.a ILP modelling'!E7</f>
        <v>1</v>
      </c>
      <c r="K20" t="s">
        <v>233</v>
      </c>
    </row>
    <row r="21" spans="3:11" ht="15.6" x14ac:dyDescent="0.3">
      <c r="C21" s="184" t="s">
        <v>72</v>
      </c>
      <c r="D21" s="189" t="s">
        <v>73</v>
      </c>
      <c r="E21" s="308" t="s">
        <v>46</v>
      </c>
      <c r="F21" s="192" t="s">
        <v>39</v>
      </c>
      <c r="G21" s="196">
        <v>1.1564818027837785E-2</v>
      </c>
      <c r="H21" s="198">
        <v>9.4151228850625754E-2</v>
      </c>
      <c r="I21" s="201" t="s">
        <v>13</v>
      </c>
      <c r="J21" s="246">
        <f>'3.a ILP modelling'!F7</f>
        <v>0</v>
      </c>
      <c r="K21" t="s">
        <v>234</v>
      </c>
    </row>
    <row r="22" spans="3:11" ht="15.6" x14ac:dyDescent="0.3">
      <c r="C22" s="185" t="s">
        <v>95</v>
      </c>
      <c r="D22" s="156" t="s">
        <v>82</v>
      </c>
      <c r="E22" s="308"/>
      <c r="F22" s="192" t="s">
        <v>40</v>
      </c>
      <c r="G22" s="196">
        <v>8.4991829259354855E-3</v>
      </c>
      <c r="H22" s="198">
        <v>8.3522880627140153E-2</v>
      </c>
      <c r="I22" s="201" t="s">
        <v>12</v>
      </c>
      <c r="J22" s="246">
        <f>'3.a ILP modelling'!G7</f>
        <v>1</v>
      </c>
      <c r="K22" t="s">
        <v>233</v>
      </c>
    </row>
    <row r="23" spans="3:11" ht="15.6" x14ac:dyDescent="0.3">
      <c r="C23" s="182" t="s">
        <v>74</v>
      </c>
      <c r="D23" s="188" t="s">
        <v>75</v>
      </c>
      <c r="E23" s="309" t="s">
        <v>47</v>
      </c>
      <c r="F23" s="193" t="s">
        <v>41</v>
      </c>
      <c r="G23" s="196">
        <v>5.5431375324955538E-3</v>
      </c>
      <c r="H23" s="198">
        <v>3.5698466399920525E-2</v>
      </c>
      <c r="I23" s="201" t="s">
        <v>11</v>
      </c>
      <c r="J23" s="246">
        <f>'3.a ILP modelling'!H7</f>
        <v>1</v>
      </c>
      <c r="K23" t="s">
        <v>233</v>
      </c>
    </row>
    <row r="24" spans="3:11" ht="15.6" x14ac:dyDescent="0.3">
      <c r="C24" s="183" t="s">
        <v>93</v>
      </c>
      <c r="D24" s="156" t="s">
        <v>84</v>
      </c>
      <c r="E24" s="309"/>
      <c r="F24" s="193" t="s">
        <v>42</v>
      </c>
      <c r="G24" s="196">
        <v>-8.2112646701124111E-3</v>
      </c>
      <c r="H24" s="198">
        <v>7.254003966278906E-2</v>
      </c>
      <c r="I24" s="201" t="s">
        <v>12</v>
      </c>
      <c r="J24" s="246">
        <f>'3.a ILP modelling'!I7</f>
        <v>0</v>
      </c>
      <c r="K24" t="s">
        <v>234</v>
      </c>
    </row>
    <row r="25" spans="3:11" ht="15.6" x14ac:dyDescent="0.3">
      <c r="C25" s="186" t="s">
        <v>63</v>
      </c>
      <c r="D25" s="189" t="s">
        <v>76</v>
      </c>
      <c r="E25" s="310" t="s">
        <v>48</v>
      </c>
      <c r="F25" s="194" t="s">
        <v>43</v>
      </c>
      <c r="G25" s="196">
        <v>1.563254330015652E-2</v>
      </c>
      <c r="H25" s="198">
        <v>6.2967475865032346E-2</v>
      </c>
      <c r="I25" s="201" t="s">
        <v>12</v>
      </c>
      <c r="J25" s="246">
        <f>'3.a ILP modelling'!J7</f>
        <v>1</v>
      </c>
      <c r="K25" t="s">
        <v>233</v>
      </c>
    </row>
    <row r="26" spans="3:11" ht="16.2" thickBot="1" x14ac:dyDescent="0.35">
      <c r="C26" s="187" t="s">
        <v>94</v>
      </c>
      <c r="D26" s="190" t="s">
        <v>105</v>
      </c>
      <c r="E26" s="311"/>
      <c r="F26" s="195" t="s">
        <v>44</v>
      </c>
      <c r="G26" s="197">
        <v>-6.2336917618514712E-3</v>
      </c>
      <c r="H26" s="199">
        <v>9.3580805448198467E-2</v>
      </c>
      <c r="I26" s="202" t="s">
        <v>13</v>
      </c>
      <c r="J26" s="247">
        <f>'3.a ILP modelling'!K7</f>
        <v>0</v>
      </c>
      <c r="K26" t="s">
        <v>234</v>
      </c>
    </row>
    <row r="28" spans="3:11" ht="15.6" x14ac:dyDescent="0.3">
      <c r="D28" s="236" t="s">
        <v>232</v>
      </c>
      <c r="E28" s="251">
        <f>'3.a ILP modelling'!D15</f>
        <v>7.6999999999999999E-2</v>
      </c>
    </row>
  </sheetData>
  <mergeCells count="8">
    <mergeCell ref="E21:E22"/>
    <mergeCell ref="E23:E24"/>
    <mergeCell ref="E25:E26"/>
    <mergeCell ref="E4:E5"/>
    <mergeCell ref="E6:E7"/>
    <mergeCell ref="E8:E9"/>
    <mergeCell ref="E10:E11"/>
    <mergeCell ref="E19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1.a Compute rate of return</vt:lpstr>
      <vt:lpstr>1.b Sample  (Return and Risk)</vt:lpstr>
      <vt:lpstr>2.a. LP Modelling </vt:lpstr>
      <vt:lpstr>2.b LP Sensitivity Report 1</vt:lpstr>
      <vt:lpstr>3.a ILP modelling</vt:lpstr>
      <vt:lpstr>Summary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Zahra Hosseinifard</dc:creator>
  <cp:keywords/>
  <dc:description/>
  <cp:lastModifiedBy>JAYENDRA LAKSHINI WEERAKOON</cp:lastModifiedBy>
  <cp:revision/>
  <dcterms:created xsi:type="dcterms:W3CDTF">2015-06-05T18:17:20Z</dcterms:created>
  <dcterms:modified xsi:type="dcterms:W3CDTF">2025-04-09T11:21:09Z</dcterms:modified>
  <cp:category/>
  <cp:contentStatus/>
</cp:coreProperties>
</file>